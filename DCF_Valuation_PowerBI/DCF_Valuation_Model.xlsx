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mc:AlternateContent xmlns:mc="http://schemas.openxmlformats.org/markup-compatibility/2006">
    <mc:Choice Requires="x15">
      <x15ac:absPath xmlns:x15ac="http://schemas.microsoft.com/office/spreadsheetml/2010/11/ac" url="C:\Users\Lenovo\Downloads\"/>
    </mc:Choice>
  </mc:AlternateContent>
  <xr:revisionPtr revIDLastSave="0" documentId="13_ncr:1_{A6DD1858-84C5-4776-B828-91A908B333FD}" xr6:coauthVersionLast="47" xr6:coauthVersionMax="47" xr10:uidLastSave="{00000000-0000-0000-0000-000000000000}"/>
  <bookViews>
    <workbookView xWindow="-108" yWindow="-108" windowWidth="23256" windowHeight="12456" firstSheet="4" activeTab="7" xr2:uid="{00000000-000D-0000-FFFF-FFFF00000000}"/>
  </bookViews>
  <sheets>
    <sheet name="Historical data" sheetId="1" r:id="rId1"/>
    <sheet name="Forecasting assumption" sheetId="2" r:id="rId2"/>
    <sheet name="DCF Valuation" sheetId="3" r:id="rId3"/>
    <sheet name="Sensitivity Analysis" sheetId="8" r:id="rId4"/>
    <sheet name="DCF Summary" sheetId="9" r:id="rId5"/>
    <sheet name="PB_Valuation_Summary" sheetId="10" r:id="rId6"/>
    <sheet name="PB_Cashflow_Drivers" sheetId="12" r:id="rId7"/>
    <sheet name="PB_Sensitivity" sheetId="13" r:id="rId8"/>
    <sheet name="Sheet2" sheetId="11" r:id="rId9"/>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9" i="12" l="1"/>
  <c r="D10" i="12"/>
  <c r="D11" i="12"/>
  <c r="D12" i="12"/>
  <c r="D8" i="12"/>
  <c r="D7" i="12"/>
  <c r="D6" i="12"/>
  <c r="D5" i="12"/>
  <c r="D4" i="12"/>
  <c r="D3" i="12"/>
  <c r="D2" i="12"/>
  <c r="C7" i="12"/>
  <c r="C6" i="12"/>
  <c r="C5" i="12"/>
  <c r="C4" i="12"/>
  <c r="C3" i="12"/>
  <c r="C2" i="12"/>
  <c r="C9" i="12"/>
  <c r="C10" i="12"/>
  <c r="C11" i="12"/>
  <c r="C12" i="12"/>
  <c r="C8" i="12"/>
  <c r="A11" i="12"/>
  <c r="A12" i="12"/>
  <c r="A10" i="12"/>
  <c r="A9" i="12"/>
  <c r="A8" i="12"/>
  <c r="A7" i="12"/>
  <c r="A6" i="12"/>
  <c r="A5" i="12"/>
  <c r="A4" i="12"/>
  <c r="A3" i="12"/>
  <c r="A2" i="12"/>
  <c r="B9" i="10"/>
  <c r="B7" i="10"/>
  <c r="B6" i="10"/>
  <c r="B5" i="10"/>
  <c r="A34" i="9"/>
  <c r="C6" i="8"/>
  <c r="B9" i="8"/>
  <c r="I2" i="2"/>
  <c r="D11" i="3" s="1"/>
  <c r="D9" i="3"/>
  <c r="H6" i="2"/>
  <c r="F2" i="2"/>
  <c r="F3" i="2" s="1"/>
  <c r="F4" i="2" s="1"/>
  <c r="F5" i="2" s="1"/>
  <c r="F6" i="2" s="1"/>
  <c r="B2" i="2"/>
  <c r="E2" i="2" s="1"/>
  <c r="G5" i="3"/>
  <c r="G4" i="3"/>
  <c r="G3" i="3"/>
  <c r="G2" i="3"/>
  <c r="L3" i="1"/>
  <c r="L4" i="1"/>
  <c r="L5" i="1"/>
  <c r="L6" i="1"/>
  <c r="L7" i="1"/>
  <c r="L2" i="1"/>
  <c r="K3" i="1"/>
  <c r="K4" i="1"/>
  <c r="K5" i="1"/>
  <c r="K6" i="1"/>
  <c r="K7" i="1"/>
  <c r="K2" i="1"/>
  <c r="J3" i="1"/>
  <c r="J4" i="1"/>
  <c r="J5" i="1"/>
  <c r="J6" i="1"/>
  <c r="J7" i="1"/>
  <c r="J2" i="1"/>
  <c r="I3" i="1"/>
  <c r="I4" i="1"/>
  <c r="I5" i="1"/>
  <c r="I6" i="1"/>
  <c r="I7" i="1"/>
  <c r="I2" i="1"/>
  <c r="H3" i="1"/>
  <c r="H4" i="1"/>
  <c r="H5" i="1"/>
  <c r="H6" i="1"/>
  <c r="H7" i="1"/>
  <c r="H2" i="1"/>
  <c r="B3" i="2" l="1"/>
  <c r="G2" i="2"/>
  <c r="C2" i="2"/>
  <c r="D2" i="2" s="1"/>
  <c r="G6" i="3"/>
  <c r="B2" i="3" l="1"/>
  <c r="C2" i="3" s="1"/>
  <c r="H2" i="2"/>
  <c r="C3" i="2"/>
  <c r="D3" i="2" s="1"/>
  <c r="B4" i="2"/>
  <c r="G3" i="2"/>
  <c r="E3" i="2"/>
  <c r="B3" i="3" l="1"/>
  <c r="C3" i="3" s="1"/>
  <c r="H3" i="2"/>
  <c r="I3" i="2" s="1"/>
  <c r="G4" i="2"/>
  <c r="E4" i="2"/>
  <c r="C4" i="2"/>
  <c r="D4" i="2" s="1"/>
  <c r="B5" i="2"/>
  <c r="H4" i="2" l="1"/>
  <c r="I4" i="2" s="1"/>
  <c r="B4" i="3"/>
  <c r="C4" i="3" s="1"/>
  <c r="G5" i="2"/>
  <c r="C5" i="2"/>
  <c r="D5" i="2" s="1"/>
  <c r="B6" i="2"/>
  <c r="E5" i="2"/>
  <c r="B5" i="3" l="1"/>
  <c r="C5" i="3" s="1"/>
  <c r="H5" i="2"/>
  <c r="E6" i="2"/>
  <c r="G6" i="2"/>
  <c r="C6" i="2"/>
  <c r="D6" i="2" s="1"/>
  <c r="I5" i="2"/>
  <c r="B6" i="3" l="1"/>
  <c r="C6" i="3" s="1"/>
  <c r="I6" i="2"/>
  <c r="D10" i="3"/>
  <c r="D12" i="3" l="1"/>
</calcChain>
</file>

<file path=xl/sharedStrings.xml><?xml version="1.0" encoding="utf-8"?>
<sst xmlns="http://schemas.openxmlformats.org/spreadsheetml/2006/main" count="145" uniqueCount="121">
  <si>
    <t>Operating revenue</t>
  </si>
  <si>
    <t>Operating Profit (EBIT)</t>
  </si>
  <si>
    <t>Net Profit (PAT)</t>
  </si>
  <si>
    <t xml:space="preserve"> Depreciation</t>
  </si>
  <si>
    <t>CapEx</t>
  </si>
  <si>
    <t>Change in working capital</t>
  </si>
  <si>
    <t>Free cash flow</t>
  </si>
  <si>
    <t xml:space="preserve">NOPAT Assuming tax rate at 25% </t>
  </si>
  <si>
    <t>FY26</t>
  </si>
  <si>
    <t>FY27</t>
  </si>
  <si>
    <t>FY28</t>
  </si>
  <si>
    <t>FY29</t>
  </si>
  <si>
    <t>FY30</t>
  </si>
  <si>
    <t>Future revenue assuming growth rate at 5%</t>
  </si>
  <si>
    <t>EBIT Margin</t>
  </si>
  <si>
    <t>Future EBIT assuming at 24%</t>
  </si>
  <si>
    <t>Depreciation to sale ratio</t>
  </si>
  <si>
    <t>Future CapEx Assuming at 5%</t>
  </si>
  <si>
    <t>WC % of Revenue</t>
  </si>
  <si>
    <t>WC change (avg i.e, -0.4%)</t>
  </si>
  <si>
    <t>Depreciation (avg i.e., 1.9%)</t>
  </si>
  <si>
    <t>Free Cash Flow</t>
  </si>
  <si>
    <t>Parameter</t>
  </si>
  <si>
    <t>Needed From Market</t>
  </si>
  <si>
    <t>Risk-free Rate (10-year G-sec)</t>
  </si>
  <si>
    <t>Beta (HUL stock volatility vs market)</t>
  </si>
  <si>
    <t>Cost of Debt %</t>
  </si>
  <si>
    <t>Market Cap</t>
  </si>
  <si>
    <t>Total Debt</t>
  </si>
  <si>
    <t>Tax rate Assuming</t>
  </si>
  <si>
    <t>ERP — Equity Risk Premium India (Assumption)</t>
  </si>
  <si>
    <t>Cost of equity</t>
  </si>
  <si>
    <t>5.78 lakh crore</t>
  </si>
  <si>
    <t>almost 0</t>
  </si>
  <si>
    <t>WACC</t>
  </si>
  <si>
    <t>We</t>
  </si>
  <si>
    <t>Wd</t>
  </si>
  <si>
    <t>PV of FCF</t>
  </si>
  <si>
    <t>Terminal Value</t>
  </si>
  <si>
    <t>PV of terminal Value</t>
  </si>
  <si>
    <t>Enterprise value</t>
  </si>
  <si>
    <t>Interinsic equity value</t>
  </si>
  <si>
    <t>Interinsic price</t>
  </si>
  <si>
    <r>
      <t xml:space="preserve">HUL shares ≈ </t>
    </r>
    <r>
      <rPr>
        <b/>
        <sz val="11"/>
        <color theme="1"/>
        <rFont val="Calibri"/>
        <family val="2"/>
        <scheme val="minor"/>
      </rPr>
      <t>235 Cr shares</t>
    </r>
  </si>
  <si>
    <t>Metric</t>
  </si>
  <si>
    <t>Calculated values</t>
  </si>
  <si>
    <t>Growth assumption</t>
  </si>
  <si>
    <t>PV of FCF (Years 1–5)</t>
  </si>
  <si>
    <t>FCF in Final Year (Year 5)</t>
  </si>
  <si>
    <t>Growth (g)</t>
  </si>
  <si>
    <t>Enterprise Value (EV)</t>
  </si>
  <si>
    <t>WACC=10%</t>
  </si>
  <si>
    <t>This discounted cash flow model estimates the intrinsic value of Hindustan Unilever Limited (HUL) based on projected free cash flows for FY26–FY30 and a terminal value calculated using long-term growth assumptions. Sensitivity analysis across various WACC and terminal growth scenarios has been included to ensure robustness.</t>
  </si>
  <si>
    <t>EXECUTIVE SUMMARY</t>
  </si>
  <si>
    <t>HUL Valuation Summary – DCF Approach</t>
  </si>
  <si>
    <t>Category</t>
  </si>
  <si>
    <t>Assumption</t>
  </si>
  <si>
    <t>Forecast Period</t>
  </si>
  <si>
    <t>5 Years (FY26–FY30)</t>
  </si>
  <si>
    <t>Revenue Growth</t>
  </si>
  <si>
    <t>5% per annum</t>
  </si>
  <si>
    <t>Tax Rate</t>
  </si>
  <si>
    <t>Depreciation</t>
  </si>
  <si>
    <t>1.9% of revenue</t>
  </si>
  <si>
    <t>CapEx Growth</t>
  </si>
  <si>
    <t>WC Change</t>
  </si>
  <si>
    <t>–0.4% of revenue</t>
  </si>
  <si>
    <t>Final Year FCF</t>
  </si>
  <si>
    <t>₹14,887 crore</t>
  </si>
  <si>
    <t>WACC (Base Case)</t>
  </si>
  <si>
    <t>Terminal Growth (g)</t>
  </si>
  <si>
    <t>KEY ASSUMPTIONS TABLE</t>
  </si>
  <si>
    <t>VALUATION OUTPUT</t>
  </si>
  <si>
    <t>PV of Terminal Value</t>
  </si>
  <si>
    <t>Equity Value</t>
  </si>
  <si>
    <t>SENSITIVITY ANALYSIS</t>
  </si>
  <si>
    <t>Valuation Conclusion</t>
  </si>
  <si>
    <t>Value (₹ Crore)</t>
  </si>
  <si>
    <t>PV of Free Cash Flows (FY26–FY30)</t>
  </si>
  <si>
    <t>Net Debt (Negative = Net Cash)</t>
  </si>
  <si>
    <t>–5,585</t>
  </si>
  <si>
    <t>Shares Outstanding (Crore)</t>
  </si>
  <si>
    <t>Intrinsic Value Per Share (₹)</t>
  </si>
  <si>
    <t>Growth Rate =3%</t>
  </si>
  <si>
    <t>Growth rate =4%</t>
  </si>
  <si>
    <t>Growth rate =5%</t>
  </si>
  <si>
    <t>Growth rate =6%</t>
  </si>
  <si>
    <t>WACC=8%</t>
  </si>
  <si>
    <t>WACC=9%</t>
  </si>
  <si>
    <t>WACC=11.5%</t>
  </si>
  <si>
    <t>WACC=12%</t>
  </si>
  <si>
    <t>Under the base-case assumptions (WACC: 11.5%, terminal growth: 4%), the DCF-derived intrinsic value is lower than the current market price. However, sensitivity analysis indicates that the market valuation of HUL can be justified under scenarios involving a lower cost of capital and/or higher long-term growth assumptions.</t>
  </si>
  <si>
    <t>This suggests that current market prices embed a premium for HUL’s strong brand equity, predictable cash flows, and lower perceived business risk, positioning the stock as a long-duration, defensive compounder rather than a valuation-driven opportunity.</t>
  </si>
  <si>
    <t>Company Name</t>
  </si>
  <si>
    <t>Valuation Method</t>
  </si>
  <si>
    <t>Forecast Period (Years)</t>
  </si>
  <si>
    <t>WACC (%)</t>
  </si>
  <si>
    <t>Terminal Growth (%)</t>
  </si>
  <si>
    <t>Intrinsic Value per Share (₹)</t>
  </si>
  <si>
    <t>Current Market Price (₹)</t>
  </si>
  <si>
    <t>Metrics</t>
  </si>
  <si>
    <t>Values</t>
  </si>
  <si>
    <t>Hindustan Unilever Limited (HUL)</t>
  </si>
  <si>
    <t>DCF (FCFF)</t>
  </si>
  <si>
    <t>Upside / Downside vs Market (%)</t>
  </si>
  <si>
    <t>Your model shows a big downside. Why?”</t>
  </si>
  <si>
    <t>You answer:</t>
  </si>
  <si>
    <t>“My base-case DCF uses a WACC of 11.5% and terminal growth of 4%, which results in an intrinsic value of around ₹742 per share. The sensitivity analysis shows that the current market price can be justified under lower discount rates or higher terminal growth, indicating that the market is pricing HUL as a low-risk, long-duration cash-flow business.”</t>
  </si>
  <si>
    <t>Year</t>
  </si>
  <si>
    <t>Revenue (₹ Cr)</t>
  </si>
  <si>
    <t>Period Type</t>
  </si>
  <si>
    <t>Free Cash Flow – FCFF (₹ Cr)</t>
  </si>
  <si>
    <t>Historical</t>
  </si>
  <si>
    <t>Forecast</t>
  </si>
  <si>
    <t>FY20</t>
  </si>
  <si>
    <t>FY21</t>
  </si>
  <si>
    <t>FY23</t>
  </si>
  <si>
    <t>FY22</t>
  </si>
  <si>
    <t>FY24</t>
  </si>
  <si>
    <t>FY25</t>
  </si>
  <si>
    <t>Enterprise Value (₹ Cr)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</si>
</sst>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0.00_);_(* \(#,##0.00\);_(* &quot;-&quot;??_);_(@_)"/>
  </numFmts>
  <fonts count="7">
    <font>
      <sz val="11"/>
      <color theme="1"/>
      <name val="Calibri"/>
      <family val="2"/>
      <scheme val="minor"/>
    </font>
    <font>
      <sz val="11"/>
      <color theme="1"/>
      <name val="Calibri"/>
      <family val="2"/>
      <scheme val="minor"/>
    </font>
    <font>
      <b/>
      <sz val="11"/>
      <color theme="1"/>
      <name val="Calibri"/>
      <family val="2"/>
      <scheme val="minor"/>
    </font>
    <font>
      <sz val="10"/>
      <color theme="1"/>
      <name val="Arial Unicode MS"/>
    </font>
    <font>
      <b/>
      <sz val="24"/>
      <color theme="1"/>
      <name val="Calibri"/>
      <family val="2"/>
      <scheme val="minor"/>
    </font>
    <font>
      <b/>
      <sz val="13.5"/>
      <color theme="1"/>
      <name val="Calibri"/>
      <family val="2"/>
      <scheme val="minor"/>
    </font>
    <font>
      <sz val="8"/>
      <name val="Calibri"/>
      <family val="2"/>
      <scheme val="minor"/>
    </font>
  </fonts>
  <fills count="7">
    <fill>
      <patternFill patternType="none"/>
    </fill>
    <fill>
      <patternFill patternType="gray125"/>
    </fill>
    <fill>
      <patternFill patternType="solid">
        <fgColor theme="4" tint="0.59999389629810485"/>
        <bgColor indexed="64"/>
      </patternFill>
    </fill>
    <fill>
      <patternFill patternType="solid">
        <fgColor theme="4" tint="-0.499984740745262"/>
        <bgColor indexed="64"/>
      </patternFill>
    </fill>
    <fill>
      <patternFill patternType="solid">
        <fgColor theme="4" tint="0.39997558519241921"/>
        <bgColor indexed="64"/>
      </patternFill>
    </fill>
    <fill>
      <patternFill patternType="solid">
        <fgColor theme="4" tint="0.79998168889431442"/>
        <bgColor indexed="64"/>
      </patternFill>
    </fill>
    <fill>
      <patternFill patternType="solid">
        <fgColor theme="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s>
  <cellStyleXfs count="3">
    <xf numFmtId="0" fontId="0" fillId="0" borderId="0"/>
    <xf numFmtId="164" fontId="1" fillId="0" borderId="0" applyFont="0" applyFill="0" applyBorder="0" applyAlignment="0" applyProtection="0"/>
    <xf numFmtId="9" fontId="1" fillId="0" borderId="0" applyFont="0" applyFill="0" applyBorder="0" applyAlignment="0" applyProtection="0"/>
  </cellStyleXfs>
  <cellXfs count="53">
    <xf numFmtId="0" fontId="0" fillId="0" borderId="0" xfId="0"/>
    <xf numFmtId="0" fontId="0" fillId="0" borderId="0" xfId="0" applyAlignment="1">
      <alignment vertical="center"/>
    </xf>
    <xf numFmtId="10" fontId="0" fillId="0" borderId="1" xfId="2" applyNumberFormat="1" applyFont="1" applyBorder="1"/>
    <xf numFmtId="164" fontId="0" fillId="0" borderId="1" xfId="1" applyFont="1" applyBorder="1"/>
    <xf numFmtId="0" fontId="0" fillId="0" borderId="0" xfId="0" applyAlignment="1">
      <alignment vertical="center" wrapText="1"/>
    </xf>
    <xf numFmtId="0" fontId="0" fillId="0" borderId="1" xfId="0" applyBorder="1" applyAlignment="1">
      <alignment vertical="center"/>
    </xf>
    <xf numFmtId="0" fontId="0" fillId="0" borderId="1" xfId="0" applyBorder="1"/>
    <xf numFmtId="9" fontId="0" fillId="0" borderId="1" xfId="2" applyFont="1" applyBorder="1" applyAlignment="1">
      <alignment vertical="center"/>
    </xf>
    <xf numFmtId="9" fontId="0" fillId="0" borderId="1" xfId="0" applyNumberFormat="1" applyBorder="1"/>
    <xf numFmtId="10" fontId="0" fillId="0" borderId="1" xfId="0" applyNumberFormat="1" applyBorder="1"/>
    <xf numFmtId="0" fontId="2" fillId="2" borderId="1" xfId="0" applyFont="1" applyFill="1" applyBorder="1" applyAlignment="1">
      <alignment horizontal="center" vertical="center" wrapText="1"/>
    </xf>
    <xf numFmtId="0" fontId="2" fillId="2" borderId="1" xfId="0" applyFont="1" applyFill="1" applyBorder="1" applyAlignment="1">
      <alignment vertical="center" wrapText="1"/>
    </xf>
    <xf numFmtId="0" fontId="2" fillId="2" borderId="2" xfId="0" applyFont="1" applyFill="1" applyBorder="1" applyAlignment="1">
      <alignment vertical="center" wrapText="1"/>
    </xf>
    <xf numFmtId="17" fontId="2" fillId="2" borderId="1" xfId="0" applyNumberFormat="1" applyFont="1" applyFill="1" applyBorder="1"/>
    <xf numFmtId="0" fontId="2" fillId="3" borderId="1" xfId="0" applyFont="1" applyFill="1" applyBorder="1" applyAlignment="1">
      <alignment vertical="center"/>
    </xf>
    <xf numFmtId="0" fontId="2" fillId="3" borderId="1" xfId="0" applyFont="1" applyFill="1" applyBorder="1" applyAlignment="1">
      <alignment vertical="center" wrapText="1"/>
    </xf>
    <xf numFmtId="0" fontId="2" fillId="2" borderId="1" xfId="0" applyFont="1" applyFill="1" applyBorder="1"/>
    <xf numFmtId="0" fontId="2" fillId="0" borderId="0" xfId="0" applyFont="1" applyAlignment="1">
      <alignment wrapText="1"/>
    </xf>
    <xf numFmtId="0" fontId="2" fillId="0" borderId="1" xfId="0" applyFont="1" applyBorder="1" applyAlignment="1">
      <alignment wrapText="1"/>
    </xf>
    <xf numFmtId="164" fontId="0" fillId="0" borderId="1" xfId="0" applyNumberFormat="1" applyBorder="1"/>
    <xf numFmtId="164" fontId="0" fillId="0" borderId="1" xfId="0" applyNumberFormat="1" applyBorder="1" applyAlignment="1">
      <alignment horizontal="left" indent="1"/>
    </xf>
    <xf numFmtId="164" fontId="0" fillId="0" borderId="0" xfId="0" applyNumberFormat="1"/>
    <xf numFmtId="0" fontId="2" fillId="0" borderId="0" xfId="0" applyFont="1" applyAlignment="1">
      <alignment horizontal="center" vertical="center"/>
    </xf>
    <xf numFmtId="0" fontId="3" fillId="0" borderId="0" xfId="0" applyFont="1" applyAlignment="1">
      <alignment vertical="center"/>
    </xf>
    <xf numFmtId="10" fontId="3" fillId="0" borderId="0" xfId="2" applyNumberFormat="1" applyFont="1" applyAlignment="1">
      <alignment vertical="center"/>
    </xf>
    <xf numFmtId="164" fontId="2" fillId="4" borderId="1" xfId="0" applyNumberFormat="1" applyFont="1" applyFill="1" applyBorder="1" applyAlignment="1">
      <alignment horizontal="center" vertical="center" wrapText="1"/>
    </xf>
    <xf numFmtId="9" fontId="2" fillId="4" borderId="1" xfId="0" applyNumberFormat="1" applyFont="1" applyFill="1" applyBorder="1" applyAlignment="1">
      <alignment horizontal="center" vertical="center" wrapText="1"/>
    </xf>
    <xf numFmtId="9" fontId="2" fillId="4" borderId="1" xfId="0" applyNumberFormat="1" applyFont="1" applyFill="1" applyBorder="1" applyAlignment="1">
      <alignment vertical="center" wrapText="1"/>
    </xf>
    <xf numFmtId="10" fontId="2" fillId="4" borderId="1" xfId="0" applyNumberFormat="1" applyFont="1" applyFill="1" applyBorder="1" applyAlignment="1">
      <alignment vertical="center" wrapText="1"/>
    </xf>
    <xf numFmtId="2" fontId="0" fillId="5" borderId="1" xfId="0" applyNumberFormat="1" applyFill="1" applyBorder="1" applyAlignment="1">
      <alignment vertical="center" wrapText="1"/>
    </xf>
    <xf numFmtId="0" fontId="4" fillId="6" borderId="0" xfId="0" applyFont="1" applyFill="1" applyAlignment="1">
      <alignment vertical="center"/>
    </xf>
    <xf numFmtId="0" fontId="0" fillId="6" borderId="0" xfId="0" applyFill="1"/>
    <xf numFmtId="0" fontId="5" fillId="6" borderId="0" xfId="0" applyFont="1" applyFill="1" applyAlignment="1">
      <alignment vertical="center"/>
    </xf>
    <xf numFmtId="0" fontId="2" fillId="6" borderId="1" xfId="0" applyFont="1" applyFill="1" applyBorder="1" applyAlignment="1">
      <alignment horizontal="center" vertical="center" wrapText="1"/>
    </xf>
    <xf numFmtId="0" fontId="0" fillId="6" borderId="1" xfId="0" applyFill="1" applyBorder="1" applyAlignment="1">
      <alignment vertical="center" wrapText="1"/>
    </xf>
    <xf numFmtId="9" fontId="0" fillId="6" borderId="1" xfId="0" applyNumberFormat="1" applyFill="1" applyBorder="1" applyAlignment="1">
      <alignment vertical="center" wrapText="1"/>
    </xf>
    <xf numFmtId="10" fontId="0" fillId="6" borderId="1" xfId="0" applyNumberFormat="1" applyFill="1" applyBorder="1" applyAlignment="1">
      <alignment vertical="center" wrapText="1"/>
    </xf>
    <xf numFmtId="3" fontId="0" fillId="6" borderId="1" xfId="0" applyNumberFormat="1" applyFill="1" applyBorder="1" applyAlignment="1">
      <alignment vertical="center" wrapText="1"/>
    </xf>
    <xf numFmtId="164" fontId="2" fillId="6" borderId="1" xfId="0" applyNumberFormat="1" applyFont="1" applyFill="1" applyBorder="1" applyAlignment="1">
      <alignment horizontal="center" vertical="center" wrapText="1"/>
    </xf>
    <xf numFmtId="9" fontId="2" fillId="6" borderId="1" xfId="0" applyNumberFormat="1" applyFont="1" applyFill="1" applyBorder="1" applyAlignment="1">
      <alignment horizontal="center" vertical="center" wrapText="1"/>
    </xf>
    <xf numFmtId="9" fontId="2" fillId="6" borderId="1" xfId="0" applyNumberFormat="1" applyFont="1" applyFill="1" applyBorder="1" applyAlignment="1">
      <alignment vertical="center" wrapText="1"/>
    </xf>
    <xf numFmtId="2" fontId="0" fillId="6" borderId="1" xfId="0" applyNumberFormat="1" applyFill="1" applyBorder="1" applyAlignment="1">
      <alignment vertical="center" wrapText="1"/>
    </xf>
    <xf numFmtId="10" fontId="2" fillId="6" borderId="1" xfId="0" applyNumberFormat="1" applyFont="1" applyFill="1" applyBorder="1" applyAlignment="1">
      <alignment vertical="center" wrapText="1"/>
    </xf>
    <xf numFmtId="0" fontId="2" fillId="0" borderId="1" xfId="0" applyFont="1" applyBorder="1"/>
    <xf numFmtId="0" fontId="0" fillId="0" borderId="0" xfId="0" applyAlignment="1">
      <alignment horizontal="left" vertical="center" indent="1"/>
    </xf>
    <xf numFmtId="17" fontId="0" fillId="0" borderId="0" xfId="0" applyNumberFormat="1" applyAlignment="1">
      <alignment vertical="center" wrapText="1"/>
    </xf>
    <xf numFmtId="4" fontId="0" fillId="0" borderId="0" xfId="0" applyNumberFormat="1" applyAlignment="1">
      <alignment vertical="center" wrapText="1"/>
    </xf>
    <xf numFmtId="17" fontId="0" fillId="0" borderId="1" xfId="0" applyNumberFormat="1" applyBorder="1" applyAlignment="1">
      <alignment vertical="center" wrapText="1"/>
    </xf>
    <xf numFmtId="0" fontId="0" fillId="0" borderId="1" xfId="0" applyBorder="1" applyAlignment="1">
      <alignment vertical="center" wrapText="1"/>
    </xf>
    <xf numFmtId="2" fontId="0" fillId="0" borderId="1" xfId="0" applyNumberFormat="1" applyBorder="1" applyAlignment="1">
      <alignment vertical="center" wrapText="1"/>
    </xf>
    <xf numFmtId="17" fontId="0" fillId="0" borderId="1" xfId="0" applyNumberFormat="1" applyBorder="1"/>
    <xf numFmtId="2" fontId="0" fillId="0" borderId="1" xfId="0" applyNumberFormat="1" applyBorder="1"/>
    <xf numFmtId="0" fontId="2" fillId="2" borderId="1" xfId="0" applyFont="1" applyFill="1" applyBorder="1" applyAlignment="1">
      <alignment horizontal="center" vertical="center"/>
    </xf>
  </cellXfs>
  <cellStyles count="3">
    <cellStyle name="Comma" xfId="1" builtinId="3"/>
    <cellStyle name="Normal" xfId="0" builtinId="0"/>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3"/>
  <sheetViews>
    <sheetView workbookViewId="0">
      <selection activeCell="C13" sqref="C13"/>
    </sheetView>
  </sheetViews>
  <sheetFormatPr defaultRowHeight="14.4"/>
  <cols>
    <col min="1" max="1" width="7.77734375" customWidth="1"/>
    <col min="2" max="2" width="10.88671875" customWidth="1"/>
    <col min="3" max="3" width="14.77734375" customWidth="1"/>
    <col min="4" max="4" width="11.109375" customWidth="1"/>
    <col min="5" max="5" width="14.109375" customWidth="1"/>
    <col min="6" max="6" width="10.109375" customWidth="1"/>
    <col min="7" max="7" width="9.109375" customWidth="1"/>
    <col min="8" max="9" width="10.109375" bestFit="1" customWidth="1"/>
    <col min="11" max="11" width="11.6640625" customWidth="1"/>
    <col min="14" max="14" width="31" customWidth="1"/>
    <col min="15" max="15" width="13.21875" customWidth="1"/>
  </cols>
  <sheetData>
    <row r="1" spans="1:13" s="1" customFormat="1" ht="57.6">
      <c r="A1" s="14"/>
      <c r="B1" s="11" t="s">
        <v>0</v>
      </c>
      <c r="C1" s="11" t="s">
        <v>1</v>
      </c>
      <c r="D1" s="11" t="s">
        <v>2</v>
      </c>
      <c r="E1" s="11" t="s">
        <v>3</v>
      </c>
      <c r="F1" s="11" t="s">
        <v>4</v>
      </c>
      <c r="G1" s="12" t="s">
        <v>5</v>
      </c>
      <c r="H1" s="12" t="s">
        <v>7</v>
      </c>
      <c r="I1" s="12" t="s">
        <v>6</v>
      </c>
      <c r="J1" s="11" t="s">
        <v>14</v>
      </c>
      <c r="K1" s="11" t="s">
        <v>16</v>
      </c>
      <c r="L1" s="12" t="s">
        <v>18</v>
      </c>
    </row>
    <row r="2" spans="1:13">
      <c r="A2" s="13" t="s">
        <v>119</v>
      </c>
      <c r="B2" s="3">
        <v>63121</v>
      </c>
      <c r="C2" s="3">
        <v>14843</v>
      </c>
      <c r="D2" s="3">
        <v>10671</v>
      </c>
      <c r="E2" s="3">
        <v>1355</v>
      </c>
      <c r="F2" s="3">
        <v>1149</v>
      </c>
      <c r="G2" s="3">
        <v>-554</v>
      </c>
      <c r="H2" s="3">
        <f t="shared" ref="H2:H7" si="0">C2*(1-25%)</f>
        <v>11132.25</v>
      </c>
      <c r="I2" s="3">
        <f t="shared" ref="I2:I7" si="1">H2+E2-F2-G2</f>
        <v>11892.25</v>
      </c>
      <c r="J2" s="2">
        <f t="shared" ref="J2:J7" si="2">C2/B2</f>
        <v>0.23515153435465216</v>
      </c>
      <c r="K2" s="2">
        <f t="shared" ref="K2:K7" si="3">E2/B2</f>
        <v>2.1466706801223048E-2</v>
      </c>
      <c r="L2" s="2">
        <f t="shared" ref="L2:L7" si="4">G2/B2</f>
        <v>-8.7767937770314164E-3</v>
      </c>
    </row>
    <row r="3" spans="1:13">
      <c r="A3" s="13" t="s">
        <v>118</v>
      </c>
      <c r="B3" s="3">
        <v>61896</v>
      </c>
      <c r="C3" s="3">
        <v>14659</v>
      </c>
      <c r="D3" s="3">
        <v>10282</v>
      </c>
      <c r="E3" s="3">
        <v>1216</v>
      </c>
      <c r="F3" s="3">
        <v>1318</v>
      </c>
      <c r="G3" s="3">
        <v>1136</v>
      </c>
      <c r="H3" s="3">
        <f t="shared" si="0"/>
        <v>10994.25</v>
      </c>
      <c r="I3" s="3">
        <f t="shared" si="1"/>
        <v>9756.25</v>
      </c>
      <c r="J3" s="2">
        <f t="shared" si="2"/>
        <v>0.23683275171255008</v>
      </c>
      <c r="K3" s="2">
        <f t="shared" si="3"/>
        <v>1.9645857567532635E-2</v>
      </c>
      <c r="L3" s="2">
        <f t="shared" si="4"/>
        <v>1.8353366938089699E-2</v>
      </c>
    </row>
    <row r="4" spans="1:13">
      <c r="A4" s="13" t="s">
        <v>116</v>
      </c>
      <c r="B4" s="3">
        <v>60580</v>
      </c>
      <c r="C4" s="3">
        <v>14147</v>
      </c>
      <c r="D4" s="3">
        <v>10143</v>
      </c>
      <c r="E4" s="3">
        <v>1137</v>
      </c>
      <c r="F4" s="3">
        <v>1041</v>
      </c>
      <c r="G4" s="3">
        <v>-863</v>
      </c>
      <c r="H4" s="3">
        <f t="shared" si="0"/>
        <v>10610.25</v>
      </c>
      <c r="I4" s="3">
        <f t="shared" si="1"/>
        <v>11569.25</v>
      </c>
      <c r="J4" s="2">
        <f t="shared" si="2"/>
        <v>0.23352591614394189</v>
      </c>
      <c r="K4" s="2">
        <f t="shared" si="3"/>
        <v>1.8768570485308684E-2</v>
      </c>
      <c r="L4" s="2">
        <f t="shared" si="4"/>
        <v>-1.4245625619016176E-2</v>
      </c>
    </row>
    <row r="5" spans="1:13">
      <c r="A5" s="13" t="s">
        <v>117</v>
      </c>
      <c r="B5" s="3">
        <v>52446</v>
      </c>
      <c r="C5" s="3">
        <v>12857</v>
      </c>
      <c r="D5" s="3">
        <v>8892</v>
      </c>
      <c r="E5" s="3">
        <v>1091</v>
      </c>
      <c r="F5" s="3">
        <v>919</v>
      </c>
      <c r="G5" s="3">
        <v>-789</v>
      </c>
      <c r="H5" s="3">
        <f t="shared" si="0"/>
        <v>9642.75</v>
      </c>
      <c r="I5" s="3">
        <f t="shared" si="1"/>
        <v>10603.75</v>
      </c>
      <c r="J5" s="2">
        <f t="shared" si="2"/>
        <v>0.24514738969606834</v>
      </c>
      <c r="K5" s="2">
        <f t="shared" si="3"/>
        <v>2.0802349082866187E-2</v>
      </c>
      <c r="L5" s="2">
        <f t="shared" si="4"/>
        <v>-1.5044045303740991E-2</v>
      </c>
    </row>
    <row r="6" spans="1:13">
      <c r="A6" s="13" t="s">
        <v>115</v>
      </c>
      <c r="B6" s="3">
        <v>47028</v>
      </c>
      <c r="C6" s="3">
        <v>11626</v>
      </c>
      <c r="D6" s="3">
        <v>7999</v>
      </c>
      <c r="E6" s="3">
        <v>1074</v>
      </c>
      <c r="F6" s="3">
        <v>4051</v>
      </c>
      <c r="G6" s="3">
        <v>-56</v>
      </c>
      <c r="H6" s="3">
        <f t="shared" si="0"/>
        <v>8719.5</v>
      </c>
      <c r="I6" s="3">
        <f t="shared" si="1"/>
        <v>5798.5</v>
      </c>
      <c r="J6" s="2">
        <f t="shared" si="2"/>
        <v>0.24721442544866887</v>
      </c>
      <c r="K6" s="2">
        <f t="shared" si="3"/>
        <v>2.2837458535340648E-2</v>
      </c>
      <c r="L6" s="2">
        <f t="shared" si="4"/>
        <v>-1.1907799608743728E-3</v>
      </c>
    </row>
    <row r="7" spans="1:13">
      <c r="A7" s="13" t="s">
        <v>114</v>
      </c>
      <c r="B7" s="3">
        <v>39783</v>
      </c>
      <c r="C7" s="3">
        <v>9861</v>
      </c>
      <c r="D7" s="3">
        <v>6756</v>
      </c>
      <c r="E7" s="3">
        <v>1002</v>
      </c>
      <c r="F7" s="3">
        <v>765</v>
      </c>
      <c r="G7" s="3">
        <v>297</v>
      </c>
      <c r="H7" s="3">
        <f t="shared" si="0"/>
        <v>7395.75</v>
      </c>
      <c r="I7" s="3">
        <f t="shared" si="1"/>
        <v>7335.75</v>
      </c>
      <c r="J7" s="2">
        <f t="shared" si="2"/>
        <v>0.24786969308498605</v>
      </c>
      <c r="K7" s="2">
        <f t="shared" si="3"/>
        <v>2.5186637508483524E-2</v>
      </c>
      <c r="L7" s="2">
        <f t="shared" si="4"/>
        <v>7.4655003393409242E-3</v>
      </c>
    </row>
    <row r="10" spans="1:13">
      <c r="M10" s="4"/>
    </row>
    <row r="11" spans="1:13">
      <c r="M11" s="4"/>
    </row>
    <row r="12" spans="1:13">
      <c r="M12" s="4"/>
    </row>
    <row r="13" spans="1:13">
      <c r="M13" s="4"/>
    </row>
  </sheetData>
  <phoneticPr fontId="6"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9E7B91-C1BC-4AFD-8022-FD6387D8754B}">
  <dimension ref="A1:M7"/>
  <sheetViews>
    <sheetView workbookViewId="0">
      <selection activeCell="L13" sqref="L13"/>
    </sheetView>
  </sheetViews>
  <sheetFormatPr defaultRowHeight="14.4"/>
  <cols>
    <col min="2" max="4" width="10.109375" bestFit="1" customWidth="1"/>
    <col min="5" max="6" width="9.109375" bestFit="1" customWidth="1"/>
    <col min="8" max="9" width="10.109375" bestFit="1" customWidth="1"/>
    <col min="12" max="12" width="31.33203125" customWidth="1"/>
    <col min="13" max="13" width="13.21875" bestFit="1" customWidth="1"/>
  </cols>
  <sheetData>
    <row r="1" spans="1:13" ht="72">
      <c r="A1" s="15"/>
      <c r="B1" s="11" t="s">
        <v>13</v>
      </c>
      <c r="C1" s="11" t="s">
        <v>15</v>
      </c>
      <c r="D1" s="11" t="s">
        <v>7</v>
      </c>
      <c r="E1" s="11" t="s">
        <v>20</v>
      </c>
      <c r="F1" s="11" t="s">
        <v>17</v>
      </c>
      <c r="G1" s="11" t="s">
        <v>19</v>
      </c>
      <c r="H1" s="11" t="s">
        <v>21</v>
      </c>
      <c r="I1" s="11" t="s">
        <v>37</v>
      </c>
      <c r="L1" s="10" t="s">
        <v>22</v>
      </c>
      <c r="M1" s="10" t="s">
        <v>23</v>
      </c>
    </row>
    <row r="2" spans="1:13">
      <c r="A2" s="16" t="s">
        <v>8</v>
      </c>
      <c r="B2" s="3">
        <f>'Historical data'!B2*(1+5%)</f>
        <v>66277.05</v>
      </c>
      <c r="C2" s="3">
        <f>B2*24%</f>
        <v>15906.492</v>
      </c>
      <c r="D2" s="3">
        <f>C2*(1-25%)</f>
        <v>11929.869000000001</v>
      </c>
      <c r="E2" s="3">
        <f>B2*1.9%</f>
        <v>1259.26395</v>
      </c>
      <c r="F2" s="3">
        <f>'Historical data'!F2*(1+5%)</f>
        <v>1206.45</v>
      </c>
      <c r="G2" s="3">
        <f>B2*-0.4%</f>
        <v>-265.10820000000001</v>
      </c>
      <c r="H2" s="3">
        <f>D2+E2-F2-G2</f>
        <v>12247.791150000001</v>
      </c>
      <c r="I2" s="3">
        <f>H2/(1+'DCF Valuation'!$G$6)^1</f>
        <v>10984.885478695833</v>
      </c>
      <c r="L2" s="5" t="s">
        <v>24</v>
      </c>
      <c r="M2" s="9">
        <v>6.5199999999999994E-2</v>
      </c>
    </row>
    <row r="3" spans="1:13">
      <c r="A3" s="16" t="s">
        <v>9</v>
      </c>
      <c r="B3" s="3">
        <f>B2*(1+5%)</f>
        <v>69590.902500000011</v>
      </c>
      <c r="C3" s="3">
        <f>B3*24%</f>
        <v>16701.816600000002</v>
      </c>
      <c r="D3" s="3">
        <f>C3*(1-25%)</f>
        <v>12526.362450000001</v>
      </c>
      <c r="E3" s="3">
        <f>B3*1.9%</f>
        <v>1322.2271475000002</v>
      </c>
      <c r="F3" s="3">
        <f>F2*(1+5%)</f>
        <v>1266.7725</v>
      </c>
      <c r="G3" s="3">
        <f>B3*-0.4%</f>
        <v>-278.36361000000005</v>
      </c>
      <c r="H3" s="3">
        <f>D3+E3-F3-G3</f>
        <v>12860.1807075</v>
      </c>
      <c r="I3" s="3">
        <f>H3/(1+'DCF Valuation'!$G$6)^2</f>
        <v>10344.811801356169</v>
      </c>
      <c r="L3" s="5" t="s">
        <v>25</v>
      </c>
      <c r="M3" s="6">
        <v>0.83</v>
      </c>
    </row>
    <row r="4" spans="1:13">
      <c r="A4" s="16" t="s">
        <v>10</v>
      </c>
      <c r="B4" s="3">
        <f>B3*(1+5%)</f>
        <v>73070.447625000015</v>
      </c>
      <c r="C4" s="3">
        <f>B4*24%</f>
        <v>17536.907430000003</v>
      </c>
      <c r="D4" s="3">
        <f>C4*(1-25%)</f>
        <v>13152.680572500001</v>
      </c>
      <c r="E4" s="3">
        <f>B4*1.9%</f>
        <v>1388.3385048750004</v>
      </c>
      <c r="F4" s="3">
        <f>F3*(1+5%)</f>
        <v>1330.1111250000001</v>
      </c>
      <c r="G4" s="3">
        <f>B4*-0.4%</f>
        <v>-292.28179050000006</v>
      </c>
      <c r="H4" s="3">
        <f>D4+E4-F4-G4</f>
        <v>13503.189742875002</v>
      </c>
      <c r="I4" s="3">
        <f>H4/(1+'DCF Valuation'!$G$6)^3</f>
        <v>9742.0343082341515</v>
      </c>
      <c r="L4" s="5" t="s">
        <v>30</v>
      </c>
      <c r="M4" s="8">
        <v>0.06</v>
      </c>
    </row>
    <row r="5" spans="1:13">
      <c r="A5" s="16" t="s">
        <v>11</v>
      </c>
      <c r="B5" s="3">
        <f>B4*(1+5%)</f>
        <v>76723.97000625002</v>
      </c>
      <c r="C5" s="3">
        <f>B5*24%</f>
        <v>18413.752801500003</v>
      </c>
      <c r="D5" s="3">
        <f>C5*(1-25%)</f>
        <v>13810.314601125003</v>
      </c>
      <c r="E5" s="3">
        <f>B5*1.9%</f>
        <v>1457.7554301187504</v>
      </c>
      <c r="F5" s="3">
        <f>F4*(1+5%)</f>
        <v>1396.6166812500003</v>
      </c>
      <c r="G5" s="3">
        <f>B5*-0.4%</f>
        <v>-306.89588002500011</v>
      </c>
      <c r="H5" s="3">
        <f>D5+E5-F5-G5</f>
        <v>14178.349230018754</v>
      </c>
      <c r="I5" s="3">
        <f>H5/(1+'DCF Valuation'!$G$6)^4</f>
        <v>9174.3798036392709</v>
      </c>
      <c r="L5" s="5" t="s">
        <v>27</v>
      </c>
      <c r="M5" s="5" t="s">
        <v>32</v>
      </c>
    </row>
    <row r="6" spans="1:13">
      <c r="A6" s="16" t="s">
        <v>12</v>
      </c>
      <c r="B6" s="3">
        <f>B5*(1+5%)</f>
        <v>80560.168506562521</v>
      </c>
      <c r="C6" s="3">
        <f>B6*24%</f>
        <v>19334.440441575003</v>
      </c>
      <c r="D6" s="3">
        <f>C6*(1-25%)</f>
        <v>14500.830331181252</v>
      </c>
      <c r="E6" s="3">
        <f>B6*1.9%</f>
        <v>1530.6432016246879</v>
      </c>
      <c r="F6" s="3">
        <f>F5*(1+5%)</f>
        <v>1466.4475153125004</v>
      </c>
      <c r="G6" s="3">
        <f>B6*-0.4%</f>
        <v>-322.24067402625008</v>
      </c>
      <c r="H6" s="3">
        <f>D6+E6-F6-G6</f>
        <v>14887.26669151969</v>
      </c>
      <c r="I6" s="3">
        <f>H6/(1+'DCF Valuation'!$G$6)^5</f>
        <v>8639.8017209077898</v>
      </c>
      <c r="L6" s="5" t="s">
        <v>28</v>
      </c>
      <c r="M6" s="5" t="s">
        <v>33</v>
      </c>
    </row>
    <row r="7" spans="1:13">
      <c r="L7" s="5" t="s">
        <v>29</v>
      </c>
      <c r="M7" s="7">
        <v>0.25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E66C6B-5C75-4EA1-85DC-4A8A2E6C180C}">
  <dimension ref="A1:G12"/>
  <sheetViews>
    <sheetView workbookViewId="0">
      <selection activeCell="F2" sqref="F2:G7"/>
    </sheetView>
  </sheetViews>
  <sheetFormatPr defaultRowHeight="14.4"/>
  <cols>
    <col min="2" max="3" width="10.109375" bestFit="1" customWidth="1"/>
    <col min="4" max="4" width="13.109375" bestFit="1" customWidth="1"/>
    <col min="5" max="5" width="8.44140625" bestFit="1" customWidth="1"/>
    <col min="6" max="6" width="13.109375" bestFit="1" customWidth="1"/>
  </cols>
  <sheetData>
    <row r="1" spans="1:7" ht="28.8">
      <c r="A1" s="15"/>
      <c r="B1" s="11" t="s">
        <v>21</v>
      </c>
      <c r="C1" s="11" t="s">
        <v>37</v>
      </c>
      <c r="F1" s="10" t="s">
        <v>22</v>
      </c>
      <c r="G1" s="10" t="s">
        <v>45</v>
      </c>
    </row>
    <row r="2" spans="1:7">
      <c r="A2" s="16" t="s">
        <v>8</v>
      </c>
      <c r="B2" s="3">
        <f>'Forecasting assumption'!D2+'Forecasting assumption'!E2-'Forecasting assumption'!F2-'Forecasting assumption'!G2</f>
        <v>12247.791150000001</v>
      </c>
      <c r="C2" s="3">
        <f>B2/(1+$G$6)^1</f>
        <v>10984.885478695833</v>
      </c>
      <c r="F2" s="5" t="s">
        <v>31</v>
      </c>
      <c r="G2" s="2">
        <f>('Forecasting assumption'!M2)+'Forecasting assumption'!M3*'Forecasting assumption'!M4</f>
        <v>0.11499999999999999</v>
      </c>
    </row>
    <row r="3" spans="1:7">
      <c r="A3" s="16" t="s">
        <v>9</v>
      </c>
      <c r="B3" s="3">
        <f>'Forecasting assumption'!D3+'Forecasting assumption'!E3-'Forecasting assumption'!F3-'Forecasting assumption'!G3</f>
        <v>12860.1807075</v>
      </c>
      <c r="C3" s="3">
        <f>B3/(1+$G$6)^2</f>
        <v>10344.811801356169</v>
      </c>
      <c r="F3" s="5" t="s">
        <v>26</v>
      </c>
      <c r="G3" s="9">
        <f>7%*(1-25%)</f>
        <v>5.2500000000000005E-2</v>
      </c>
    </row>
    <row r="4" spans="1:7">
      <c r="A4" s="16" t="s">
        <v>10</v>
      </c>
      <c r="B4" s="3">
        <f>'Forecasting assumption'!D4+'Forecasting assumption'!E4-'Forecasting assumption'!F4-'Forecasting assumption'!G4</f>
        <v>13503.189742875002</v>
      </c>
      <c r="C4" s="3">
        <f>B4/(1+$G$6)^3</f>
        <v>9742.0343082341515</v>
      </c>
      <c r="F4" s="5" t="s">
        <v>35</v>
      </c>
      <c r="G4" s="2">
        <f>578000/(578000+300)</f>
        <v>0.99948123811170675</v>
      </c>
    </row>
    <row r="5" spans="1:7">
      <c r="A5" s="16" t="s">
        <v>11</v>
      </c>
      <c r="B5" s="3">
        <f>'Forecasting assumption'!D5+'Forecasting assumption'!E5-'Forecasting assumption'!F5-'Forecasting assumption'!G5</f>
        <v>14178.349230018754</v>
      </c>
      <c r="C5" s="3">
        <f>B5/(1+$G$6)^4</f>
        <v>9174.3798036392709</v>
      </c>
      <c r="F5" s="5" t="s">
        <v>36</v>
      </c>
      <c r="G5" s="2">
        <f>300/(578000+300)</f>
        <v>5.1876188829327343E-4</v>
      </c>
    </row>
    <row r="6" spans="1:7">
      <c r="A6" s="16" t="s">
        <v>12</v>
      </c>
      <c r="B6" s="3">
        <f>'Forecasting assumption'!D6+'Forecasting assumption'!E6-'Forecasting assumption'!F6-'Forecasting assumption'!G6</f>
        <v>14887.26669151969</v>
      </c>
      <c r="C6" s="3">
        <f>B6/(1+$G$6)^5</f>
        <v>8639.8017209077898</v>
      </c>
      <c r="F6" s="5" t="s">
        <v>34</v>
      </c>
      <c r="G6" s="9">
        <f>G4*G2+(G5*G3)</f>
        <v>0.11496757738198167</v>
      </c>
    </row>
    <row r="7" spans="1:7">
      <c r="F7" s="5" t="s">
        <v>46</v>
      </c>
      <c r="G7" s="8">
        <v>0.04</v>
      </c>
    </row>
    <row r="9" spans="1:7" ht="28.8">
      <c r="C9" s="18" t="s">
        <v>38</v>
      </c>
      <c r="D9" s="19">
        <f>'Forecasting assumption'!H6*(1+G7)/(G6-G7)</f>
        <v>206526.04632388361</v>
      </c>
    </row>
    <row r="10" spans="1:7" ht="43.2">
      <c r="C10" s="18" t="s">
        <v>39</v>
      </c>
      <c r="D10" s="19">
        <f>D9/(1+'DCF Valuation'!G6)^5</f>
        <v>119857.06492769398</v>
      </c>
    </row>
    <row r="11" spans="1:7" ht="43.2">
      <c r="B11" s="17" t="s">
        <v>41</v>
      </c>
      <c r="C11" s="18" t="s">
        <v>40</v>
      </c>
      <c r="D11" s="20">
        <f>(SUM('Forecasting assumption'!I2:I6))+D10</f>
        <v>168742.9780405272</v>
      </c>
    </row>
    <row r="12" spans="1:7" ht="28.8">
      <c r="C12" s="18" t="s">
        <v>42</v>
      </c>
      <c r="D12" s="19">
        <f>D11/235</f>
        <v>718.05522570437108</v>
      </c>
      <c r="E12" t="s">
        <v>43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9441B3-C01D-4659-A15D-D1625A8C84A8}">
  <dimension ref="B1:L14"/>
  <sheetViews>
    <sheetView topLeftCell="A2" workbookViewId="0">
      <selection activeCell="B9" sqref="B9:F14"/>
    </sheetView>
  </sheetViews>
  <sheetFormatPr defaultRowHeight="14.4"/>
  <cols>
    <col min="1" max="1" width="16.5546875" bestFit="1" customWidth="1"/>
    <col min="2" max="2" width="14.21875" customWidth="1"/>
    <col min="3" max="3" width="11.5546875" bestFit="1" customWidth="1"/>
    <col min="4" max="4" width="12" bestFit="1" customWidth="1"/>
    <col min="5" max="6" width="11.5546875" bestFit="1" customWidth="1"/>
  </cols>
  <sheetData>
    <row r="1" spans="2:12">
      <c r="B1" s="23" t="s">
        <v>47</v>
      </c>
      <c r="C1" s="23">
        <v>48886</v>
      </c>
    </row>
    <row r="2" spans="2:12">
      <c r="B2" s="23" t="s">
        <v>48</v>
      </c>
      <c r="C2" s="23">
        <v>14887</v>
      </c>
    </row>
    <row r="3" spans="2:12">
      <c r="B3" s="23" t="s">
        <v>34</v>
      </c>
      <c r="C3" s="24">
        <v>0.115</v>
      </c>
    </row>
    <row r="4" spans="2:12">
      <c r="B4" s="23" t="s">
        <v>49</v>
      </c>
      <c r="C4" s="24">
        <v>0.04</v>
      </c>
      <c r="K4" s="22"/>
      <c r="L4" s="22"/>
    </row>
    <row r="5" spans="2:12">
      <c r="J5" s="22"/>
      <c r="K5" s="22"/>
    </row>
    <row r="6" spans="2:12">
      <c r="B6" s="23" t="s">
        <v>50</v>
      </c>
      <c r="C6" s="21">
        <f xml:space="preserve"> $C$1 +( ($C$2 * (1 + C$4) / (C3 - C$4) ) / (1 + C3)^5)</f>
        <v>168671.68682192772</v>
      </c>
      <c r="J6" s="1"/>
      <c r="L6" s="23"/>
    </row>
    <row r="9" spans="2:12">
      <c r="B9" s="25">
        <f>C6</f>
        <v>168671.68682192772</v>
      </c>
      <c r="C9" s="26">
        <v>0.03</v>
      </c>
      <c r="D9" s="26">
        <v>0.04</v>
      </c>
      <c r="E9" s="26">
        <v>0.05</v>
      </c>
      <c r="F9" s="26">
        <v>0.06</v>
      </c>
    </row>
    <row r="10" spans="2:12">
      <c r="B10" s="27">
        <v>0.08</v>
      </c>
      <c r="C10" s="29">
        <f t="dataTable" ref="C10:F14" dt2D="1" dtr="1" r1="C4" r2="C3"/>
        <v>257601.94631737453</v>
      </c>
      <c r="D10" s="29">
        <v>312313.89341027848</v>
      </c>
      <c r="E10" s="29">
        <v>403500.47189845185</v>
      </c>
      <c r="F10" s="29">
        <v>585873.62887479842</v>
      </c>
    </row>
    <row r="11" spans="2:12">
      <c r="B11" s="27">
        <v>0.09</v>
      </c>
      <c r="C11" s="29">
        <v>214982.57340430285</v>
      </c>
      <c r="D11" s="29">
        <v>250136.99379472813</v>
      </c>
      <c r="E11" s="29">
        <v>302868.62438036606</v>
      </c>
      <c r="F11" s="29">
        <v>390754.67535642919</v>
      </c>
    </row>
    <row r="12" spans="2:12">
      <c r="B12" s="27">
        <v>0.1</v>
      </c>
      <c r="C12" s="29">
        <v>184899.79154961556</v>
      </c>
      <c r="D12" s="29">
        <v>209109.36609728177</v>
      </c>
      <c r="E12" s="29">
        <v>243002.77046401444</v>
      </c>
      <c r="F12" s="29">
        <v>293842.87701411342</v>
      </c>
    </row>
    <row r="13" spans="2:12">
      <c r="B13" s="28">
        <v>0.115</v>
      </c>
      <c r="C13" s="29">
        <v>153562.97179857371</v>
      </c>
      <c r="D13" s="29">
        <v>168671.68682192772</v>
      </c>
      <c r="E13" s="29">
        <v>188429.23723708297</v>
      </c>
      <c r="F13" s="29">
        <v>215371.35143956737</v>
      </c>
    </row>
    <row r="14" spans="2:12">
      <c r="B14" s="27">
        <v>0.12</v>
      </c>
      <c r="C14" s="29">
        <v>145560.46787905856</v>
      </c>
      <c r="D14" s="29">
        <v>158700.68681407627</v>
      </c>
      <c r="E14" s="29">
        <v>175595.25401624182</v>
      </c>
      <c r="F14" s="29">
        <v>198121.34361912924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1DE0A-0B1E-44B9-A733-C30416D2CB9B}">
  <dimension ref="A1:AA47"/>
  <sheetViews>
    <sheetView topLeftCell="A26" workbookViewId="0">
      <selection activeCell="A34" sqref="A34:F39"/>
    </sheetView>
  </sheetViews>
  <sheetFormatPr defaultRowHeight="14.4"/>
  <cols>
    <col min="1" max="1" width="18.5546875" customWidth="1"/>
    <col min="2" max="2" width="17.88671875" customWidth="1"/>
    <col min="3" max="3" width="14.6640625" customWidth="1"/>
    <col min="4" max="5" width="9.5546875" bestFit="1" customWidth="1"/>
  </cols>
  <sheetData>
    <row r="1" spans="1:27" ht="31.2">
      <c r="A1" s="30" t="s">
        <v>53</v>
      </c>
      <c r="B1" s="31"/>
      <c r="C1" s="31"/>
      <c r="D1" s="31"/>
      <c r="E1" s="31"/>
      <c r="F1" s="31"/>
      <c r="G1" s="31"/>
      <c r="H1" s="31"/>
      <c r="I1" s="31"/>
      <c r="J1" s="31"/>
      <c r="K1" s="31"/>
      <c r="L1" s="31"/>
      <c r="M1" s="31"/>
      <c r="N1" s="31"/>
      <c r="O1" s="31"/>
      <c r="P1" s="31"/>
      <c r="Q1" s="31"/>
      <c r="R1" s="31"/>
      <c r="S1" s="31"/>
      <c r="T1" s="31"/>
      <c r="U1" s="31"/>
      <c r="V1" s="31"/>
      <c r="W1" s="31"/>
      <c r="X1" s="31"/>
      <c r="Y1" s="31"/>
      <c r="Z1" s="31"/>
      <c r="AA1" s="31"/>
    </row>
    <row r="2" spans="1:27">
      <c r="A2" s="31"/>
      <c r="B2" s="31"/>
      <c r="C2" s="31"/>
      <c r="D2" s="31"/>
      <c r="E2" s="31"/>
      <c r="F2" s="31"/>
      <c r="G2" s="31"/>
      <c r="H2" s="31"/>
      <c r="I2" s="31"/>
      <c r="J2" s="31"/>
      <c r="K2" s="31"/>
      <c r="L2" s="31"/>
      <c r="M2" s="31"/>
      <c r="N2" s="31"/>
      <c r="O2" s="31"/>
      <c r="P2" s="31"/>
      <c r="Q2" s="31"/>
      <c r="R2" s="31"/>
      <c r="S2" s="31"/>
      <c r="T2" s="31"/>
      <c r="U2" s="31"/>
      <c r="V2" s="31"/>
      <c r="W2" s="31"/>
      <c r="X2" s="31"/>
      <c r="Y2" s="31"/>
      <c r="Z2" s="31"/>
      <c r="AA2" s="31"/>
    </row>
    <row r="3" spans="1:27" ht="18">
      <c r="A3" s="32" t="s">
        <v>54</v>
      </c>
      <c r="B3" s="31"/>
      <c r="C3" s="31"/>
      <c r="D3" s="31"/>
      <c r="E3" s="31"/>
      <c r="F3" s="31"/>
      <c r="G3" s="31"/>
      <c r="H3" s="31"/>
      <c r="I3" s="31"/>
      <c r="J3" s="31"/>
      <c r="K3" s="31"/>
      <c r="L3" s="31"/>
      <c r="M3" s="31"/>
      <c r="N3" s="31"/>
      <c r="O3" s="31"/>
      <c r="P3" s="31"/>
      <c r="Q3" s="31"/>
      <c r="R3" s="31"/>
      <c r="S3" s="31"/>
      <c r="T3" s="31"/>
      <c r="U3" s="31"/>
      <c r="V3" s="31"/>
      <c r="W3" s="31"/>
      <c r="X3" s="31"/>
      <c r="Y3" s="31"/>
      <c r="Z3" s="31"/>
      <c r="AA3" s="31"/>
    </row>
    <row r="4" spans="1:27">
      <c r="A4" s="31"/>
      <c r="B4" s="31"/>
      <c r="C4" s="31"/>
      <c r="D4" s="31"/>
      <c r="E4" s="31"/>
      <c r="F4" s="31"/>
      <c r="G4" s="31"/>
      <c r="H4" s="31"/>
      <c r="I4" s="31"/>
      <c r="J4" s="31"/>
      <c r="K4" s="31"/>
      <c r="L4" s="31"/>
      <c r="M4" s="31"/>
      <c r="N4" s="31"/>
      <c r="O4" s="31"/>
      <c r="P4" s="31"/>
      <c r="Q4" s="31"/>
      <c r="R4" s="31"/>
      <c r="S4" s="31"/>
      <c r="T4" s="31"/>
      <c r="U4" s="31"/>
      <c r="V4" s="31"/>
      <c r="W4" s="31"/>
      <c r="X4" s="31"/>
      <c r="Y4" s="31"/>
      <c r="Z4" s="31"/>
      <c r="AA4" s="31"/>
    </row>
    <row r="5" spans="1:27">
      <c r="A5" s="31" t="s">
        <v>52</v>
      </c>
      <c r="B5" s="31"/>
      <c r="C5" s="31"/>
      <c r="D5" s="31"/>
      <c r="E5" s="31"/>
      <c r="F5" s="31"/>
      <c r="G5" s="31"/>
      <c r="H5" s="31"/>
      <c r="I5" s="31"/>
      <c r="J5" s="31"/>
      <c r="K5" s="31"/>
      <c r="L5" s="31"/>
      <c r="M5" s="31"/>
      <c r="N5" s="31"/>
      <c r="O5" s="31"/>
      <c r="P5" s="31"/>
      <c r="Q5" s="31"/>
      <c r="R5" s="31"/>
      <c r="S5" s="31"/>
      <c r="T5" s="31"/>
      <c r="U5" s="31"/>
      <c r="V5" s="31"/>
      <c r="W5" s="31"/>
      <c r="X5" s="31"/>
      <c r="Y5" s="31"/>
      <c r="Z5" s="31"/>
      <c r="AA5" s="31"/>
    </row>
    <row r="6" spans="1:27">
      <c r="A6" s="31"/>
      <c r="B6" s="31"/>
      <c r="C6" s="31"/>
      <c r="D6" s="31"/>
      <c r="E6" s="31"/>
      <c r="F6" s="31"/>
      <c r="G6" s="31"/>
      <c r="H6" s="31"/>
      <c r="I6" s="31"/>
      <c r="J6" s="31"/>
      <c r="K6" s="31"/>
      <c r="L6" s="31"/>
      <c r="M6" s="31"/>
      <c r="N6" s="31"/>
      <c r="O6" s="31"/>
      <c r="P6" s="31"/>
      <c r="Q6" s="31"/>
      <c r="R6" s="31"/>
      <c r="S6" s="31"/>
      <c r="T6" s="31"/>
      <c r="U6" s="31"/>
      <c r="V6" s="31"/>
      <c r="W6" s="31"/>
      <c r="X6" s="31"/>
      <c r="Y6" s="31"/>
      <c r="Z6" s="31"/>
      <c r="AA6" s="31"/>
    </row>
    <row r="7" spans="1:27" ht="18">
      <c r="A7" s="32" t="s">
        <v>71</v>
      </c>
      <c r="B7" s="31"/>
      <c r="C7" s="31"/>
      <c r="D7" s="31"/>
      <c r="E7" s="31"/>
      <c r="F7" s="31"/>
      <c r="G7" s="31"/>
      <c r="H7" s="31"/>
      <c r="I7" s="31"/>
      <c r="J7" s="31"/>
      <c r="K7" s="31"/>
      <c r="L7" s="31"/>
      <c r="M7" s="31"/>
      <c r="N7" s="31"/>
      <c r="O7" s="31"/>
      <c r="P7" s="31"/>
      <c r="Q7" s="31"/>
      <c r="R7" s="31"/>
      <c r="S7" s="31"/>
      <c r="T7" s="31"/>
      <c r="U7" s="31"/>
      <c r="V7" s="31"/>
      <c r="W7" s="31"/>
      <c r="X7" s="31"/>
      <c r="Y7" s="31"/>
      <c r="Z7" s="31"/>
      <c r="AA7" s="31"/>
    </row>
    <row r="8" spans="1:27">
      <c r="A8" s="31"/>
      <c r="B8" s="31"/>
      <c r="C8" s="31"/>
      <c r="D8" s="31"/>
      <c r="E8" s="31"/>
      <c r="F8" s="31"/>
      <c r="G8" s="31"/>
      <c r="H8" s="31"/>
      <c r="I8" s="31"/>
      <c r="J8" s="31"/>
      <c r="K8" s="31"/>
      <c r="L8" s="31"/>
      <c r="M8" s="31"/>
      <c r="N8" s="31"/>
      <c r="O8" s="31"/>
      <c r="P8" s="31"/>
      <c r="Q8" s="31"/>
      <c r="R8" s="31"/>
      <c r="S8" s="31"/>
      <c r="T8" s="31"/>
      <c r="U8" s="31"/>
      <c r="V8" s="31"/>
      <c r="W8" s="31"/>
      <c r="X8" s="31"/>
      <c r="Y8" s="31"/>
      <c r="Z8" s="31"/>
      <c r="AA8" s="31"/>
    </row>
    <row r="9" spans="1:27">
      <c r="A9" s="33" t="s">
        <v>55</v>
      </c>
      <c r="B9" s="33" t="s">
        <v>56</v>
      </c>
      <c r="C9" s="31"/>
      <c r="D9" s="31"/>
      <c r="E9" s="31"/>
      <c r="F9" s="31"/>
      <c r="G9" s="31"/>
      <c r="H9" s="31"/>
      <c r="I9" s="31"/>
      <c r="J9" s="31"/>
      <c r="K9" s="31"/>
      <c r="L9" s="31"/>
      <c r="M9" s="31"/>
      <c r="N9" s="31"/>
      <c r="O9" s="31"/>
      <c r="P9" s="31"/>
      <c r="Q9" s="31"/>
      <c r="R9" s="31"/>
      <c r="S9" s="31"/>
      <c r="T9" s="31"/>
      <c r="U9" s="31"/>
      <c r="V9" s="31"/>
      <c r="W9" s="31"/>
      <c r="X9" s="31"/>
      <c r="Y9" s="31"/>
      <c r="Z9" s="31"/>
      <c r="AA9" s="31"/>
    </row>
    <row r="10" spans="1:27">
      <c r="A10" s="34" t="s">
        <v>57</v>
      </c>
      <c r="B10" s="34" t="s">
        <v>58</v>
      </c>
      <c r="C10" s="31"/>
      <c r="D10" s="31"/>
      <c r="E10" s="31"/>
      <c r="F10" s="31"/>
      <c r="G10" s="31"/>
      <c r="H10" s="31"/>
      <c r="I10" s="31"/>
      <c r="J10" s="31"/>
      <c r="K10" s="31"/>
      <c r="L10" s="31"/>
      <c r="M10" s="31"/>
      <c r="N10" s="31"/>
      <c r="O10" s="31"/>
      <c r="P10" s="31"/>
      <c r="Q10" s="31"/>
      <c r="R10" s="31"/>
      <c r="S10" s="31"/>
      <c r="T10" s="31"/>
      <c r="U10" s="31"/>
      <c r="V10" s="31"/>
      <c r="W10" s="31"/>
      <c r="X10" s="31"/>
      <c r="Y10" s="31"/>
      <c r="Z10" s="31"/>
      <c r="AA10" s="31"/>
    </row>
    <row r="11" spans="1:27">
      <c r="A11" s="34" t="s">
        <v>59</v>
      </c>
      <c r="B11" s="34" t="s">
        <v>60</v>
      </c>
      <c r="C11" s="31"/>
      <c r="D11" s="31"/>
      <c r="E11" s="31"/>
      <c r="F11" s="31"/>
      <c r="G11" s="31"/>
      <c r="H11" s="31"/>
      <c r="I11" s="31"/>
      <c r="J11" s="31"/>
      <c r="K11" s="31"/>
      <c r="L11" s="31"/>
      <c r="M11" s="31"/>
      <c r="N11" s="31"/>
      <c r="O11" s="31"/>
      <c r="P11" s="31"/>
      <c r="Q11" s="31"/>
      <c r="R11" s="31"/>
      <c r="S11" s="31"/>
      <c r="T11" s="31"/>
      <c r="U11" s="31"/>
      <c r="V11" s="31"/>
      <c r="W11" s="31"/>
      <c r="X11" s="31"/>
      <c r="Y11" s="31"/>
      <c r="Z11" s="31"/>
      <c r="AA11" s="31"/>
    </row>
    <row r="12" spans="1:27">
      <c r="A12" s="34" t="s">
        <v>14</v>
      </c>
      <c r="B12" s="35">
        <v>0.24</v>
      </c>
      <c r="C12" s="31"/>
      <c r="D12" s="31"/>
      <c r="E12" s="31"/>
      <c r="F12" s="31"/>
      <c r="G12" s="31"/>
      <c r="H12" s="31"/>
      <c r="I12" s="31"/>
      <c r="J12" s="31"/>
      <c r="K12" s="31"/>
      <c r="L12" s="31"/>
      <c r="M12" s="31"/>
      <c r="N12" s="31"/>
      <c r="O12" s="31"/>
      <c r="P12" s="31"/>
      <c r="Q12" s="31"/>
      <c r="R12" s="31"/>
      <c r="S12" s="31"/>
      <c r="T12" s="31"/>
      <c r="U12" s="31"/>
      <c r="V12" s="31"/>
      <c r="W12" s="31"/>
      <c r="X12" s="31"/>
      <c r="Y12" s="31"/>
      <c r="Z12" s="31"/>
      <c r="AA12" s="31"/>
    </row>
    <row r="13" spans="1:27">
      <c r="A13" s="34" t="s">
        <v>61</v>
      </c>
      <c r="B13" s="35">
        <v>0.25</v>
      </c>
      <c r="C13" s="31"/>
      <c r="D13" s="31"/>
      <c r="E13" s="31"/>
      <c r="F13" s="31"/>
      <c r="G13" s="31"/>
      <c r="H13" s="31"/>
      <c r="I13" s="31"/>
      <c r="J13" s="31"/>
      <c r="K13" s="31"/>
      <c r="L13" s="31"/>
      <c r="M13" s="31"/>
      <c r="N13" s="31"/>
      <c r="O13" s="31"/>
      <c r="P13" s="31"/>
      <c r="Q13" s="31"/>
      <c r="R13" s="31"/>
      <c r="S13" s="31"/>
      <c r="T13" s="31"/>
      <c r="U13" s="31"/>
      <c r="V13" s="31"/>
      <c r="W13" s="31"/>
      <c r="X13" s="31"/>
      <c r="Y13" s="31"/>
      <c r="Z13" s="31"/>
      <c r="AA13" s="31"/>
    </row>
    <row r="14" spans="1:27">
      <c r="A14" s="34" t="s">
        <v>62</v>
      </c>
      <c r="B14" s="34" t="s">
        <v>63</v>
      </c>
      <c r="C14" s="31"/>
      <c r="D14" s="31"/>
      <c r="E14" s="31"/>
      <c r="F14" s="31"/>
      <c r="G14" s="31"/>
      <c r="H14" s="31"/>
      <c r="I14" s="31"/>
      <c r="J14" s="31"/>
      <c r="K14" s="31"/>
      <c r="L14" s="31"/>
      <c r="M14" s="31"/>
      <c r="N14" s="31"/>
      <c r="O14" s="31"/>
      <c r="P14" s="31"/>
      <c r="Q14" s="31"/>
      <c r="R14" s="31"/>
      <c r="S14" s="31"/>
      <c r="T14" s="31"/>
      <c r="U14" s="31"/>
      <c r="V14" s="31"/>
      <c r="W14" s="31"/>
      <c r="X14" s="31"/>
      <c r="Y14" s="31"/>
      <c r="Z14" s="31"/>
      <c r="AA14" s="31"/>
    </row>
    <row r="15" spans="1:27">
      <c r="A15" s="34" t="s">
        <v>64</v>
      </c>
      <c r="B15" s="34" t="s">
        <v>60</v>
      </c>
      <c r="C15" s="31"/>
      <c r="D15" s="31"/>
      <c r="E15" s="31"/>
      <c r="F15" s="31"/>
      <c r="G15" s="31"/>
      <c r="H15" s="31"/>
      <c r="I15" s="31"/>
      <c r="J15" s="31"/>
      <c r="K15" s="31"/>
      <c r="L15" s="31"/>
      <c r="M15" s="31"/>
      <c r="N15" s="31"/>
      <c r="O15" s="31"/>
      <c r="P15" s="31"/>
      <c r="Q15" s="31"/>
      <c r="R15" s="31"/>
      <c r="S15" s="31"/>
      <c r="T15" s="31"/>
      <c r="U15" s="31"/>
      <c r="V15" s="31"/>
      <c r="W15" s="31"/>
      <c r="X15" s="31"/>
      <c r="Y15" s="31"/>
      <c r="Z15" s="31"/>
      <c r="AA15" s="31"/>
    </row>
    <row r="16" spans="1:27">
      <c r="A16" s="34" t="s">
        <v>65</v>
      </c>
      <c r="B16" s="34" t="s">
        <v>66</v>
      </c>
      <c r="C16" s="31"/>
      <c r="D16" s="31"/>
      <c r="E16" s="31"/>
      <c r="F16" s="31"/>
      <c r="G16" s="31"/>
      <c r="H16" s="31"/>
      <c r="I16" s="31"/>
      <c r="J16" s="31"/>
      <c r="K16" s="31"/>
      <c r="L16" s="31"/>
      <c r="M16" s="31"/>
      <c r="N16" s="31"/>
      <c r="O16" s="31"/>
      <c r="P16" s="31"/>
      <c r="Q16" s="31"/>
      <c r="R16" s="31"/>
      <c r="S16" s="31"/>
      <c r="T16" s="31"/>
      <c r="U16" s="31"/>
      <c r="V16" s="31"/>
      <c r="W16" s="31"/>
      <c r="X16" s="31"/>
      <c r="Y16" s="31"/>
      <c r="Z16" s="31"/>
      <c r="AA16" s="31"/>
    </row>
    <row r="17" spans="1:27">
      <c r="A17" s="34" t="s">
        <v>67</v>
      </c>
      <c r="B17" s="34" t="s">
        <v>68</v>
      </c>
      <c r="C17" s="31"/>
      <c r="D17" s="31"/>
      <c r="E17" s="31"/>
      <c r="F17" s="31"/>
      <c r="G17" s="31"/>
      <c r="H17" s="31"/>
      <c r="I17" s="31"/>
      <c r="J17" s="31"/>
      <c r="K17" s="31"/>
      <c r="L17" s="31"/>
      <c r="M17" s="31"/>
      <c r="N17" s="31"/>
      <c r="O17" s="31"/>
      <c r="P17" s="31"/>
      <c r="Q17" s="31"/>
      <c r="R17" s="31"/>
      <c r="S17" s="31"/>
      <c r="T17" s="31"/>
      <c r="U17" s="31"/>
      <c r="V17" s="31"/>
      <c r="W17" s="31"/>
      <c r="X17" s="31"/>
      <c r="Y17" s="31"/>
      <c r="Z17" s="31"/>
      <c r="AA17" s="31"/>
    </row>
    <row r="18" spans="1:27">
      <c r="A18" s="34" t="s">
        <v>69</v>
      </c>
      <c r="B18" s="36">
        <v>0.115</v>
      </c>
      <c r="C18" s="31"/>
      <c r="D18" s="31"/>
      <c r="E18" s="31"/>
      <c r="F18" s="31"/>
      <c r="G18" s="31"/>
      <c r="H18" s="31"/>
      <c r="I18" s="31"/>
      <c r="J18" s="31"/>
      <c r="K18" s="31"/>
      <c r="L18" s="31"/>
      <c r="M18" s="31"/>
      <c r="N18" s="31"/>
      <c r="O18" s="31"/>
      <c r="P18" s="31"/>
      <c r="Q18" s="31"/>
      <c r="R18" s="31"/>
      <c r="S18" s="31"/>
      <c r="T18" s="31"/>
      <c r="U18" s="31"/>
      <c r="V18" s="31"/>
      <c r="W18" s="31"/>
      <c r="X18" s="31"/>
      <c r="Y18" s="31"/>
      <c r="Z18" s="31"/>
      <c r="AA18" s="31"/>
    </row>
    <row r="19" spans="1:27">
      <c r="A19" s="34" t="s">
        <v>70</v>
      </c>
      <c r="B19" s="35">
        <v>0.04</v>
      </c>
      <c r="C19" s="31"/>
      <c r="D19" s="31"/>
      <c r="E19" s="31"/>
      <c r="F19" s="31"/>
      <c r="G19" s="31"/>
      <c r="H19" s="31"/>
      <c r="I19" s="31"/>
      <c r="J19" s="31"/>
      <c r="K19" s="31"/>
      <c r="L19" s="31"/>
      <c r="M19" s="31"/>
      <c r="N19" s="31"/>
      <c r="O19" s="31"/>
      <c r="P19" s="31"/>
      <c r="Q19" s="31"/>
      <c r="R19" s="31"/>
      <c r="S19" s="31"/>
      <c r="T19" s="31"/>
      <c r="U19" s="31"/>
      <c r="V19" s="31"/>
      <c r="W19" s="31"/>
      <c r="X19" s="31"/>
      <c r="Y19" s="31"/>
      <c r="Z19" s="31"/>
      <c r="AA19" s="31"/>
    </row>
    <row r="20" spans="1:27">
      <c r="A20" s="31"/>
      <c r="B20" s="31"/>
      <c r="C20" s="31"/>
      <c r="D20" s="31"/>
      <c r="E20" s="31"/>
      <c r="F20" s="31"/>
      <c r="G20" s="31"/>
      <c r="H20" s="31"/>
      <c r="I20" s="31"/>
      <c r="J20" s="31"/>
      <c r="K20" s="31"/>
      <c r="L20" s="31"/>
      <c r="M20" s="31"/>
      <c r="N20" s="31"/>
      <c r="O20" s="31"/>
      <c r="P20" s="31"/>
      <c r="Q20" s="31"/>
      <c r="R20" s="31"/>
      <c r="S20" s="31"/>
      <c r="T20" s="31"/>
      <c r="U20" s="31"/>
      <c r="V20" s="31"/>
      <c r="W20" s="31"/>
      <c r="X20" s="31"/>
      <c r="Y20" s="31"/>
      <c r="Z20" s="31"/>
      <c r="AA20" s="31"/>
    </row>
    <row r="21" spans="1:27" ht="18">
      <c r="A21" s="32" t="s">
        <v>72</v>
      </c>
      <c r="B21" s="31"/>
      <c r="C21" s="31"/>
      <c r="D21" s="31"/>
      <c r="E21" s="31"/>
      <c r="F21" s="31"/>
      <c r="G21" s="31"/>
      <c r="H21" s="31"/>
      <c r="I21" s="31"/>
      <c r="J21" s="31"/>
      <c r="K21" s="31"/>
      <c r="L21" s="31"/>
      <c r="M21" s="31"/>
      <c r="N21" s="31"/>
      <c r="O21" s="31"/>
      <c r="P21" s="31"/>
      <c r="Q21" s="31"/>
      <c r="R21" s="31"/>
      <c r="S21" s="31"/>
      <c r="T21" s="31"/>
      <c r="U21" s="31"/>
      <c r="V21" s="31"/>
      <c r="W21" s="31"/>
      <c r="X21" s="31"/>
      <c r="Y21" s="31"/>
      <c r="Z21" s="31"/>
      <c r="AA21" s="31"/>
    </row>
    <row r="22" spans="1:27">
      <c r="A22" s="31"/>
      <c r="B22" s="31"/>
      <c r="C22" s="31"/>
      <c r="D22" s="31"/>
      <c r="E22" s="31"/>
      <c r="F22" s="31"/>
      <c r="G22" s="31"/>
      <c r="H22" s="31"/>
      <c r="I22" s="31"/>
      <c r="J22" s="31"/>
      <c r="K22" s="31"/>
      <c r="L22" s="31"/>
      <c r="M22" s="31"/>
      <c r="N22" s="31"/>
      <c r="O22" s="31"/>
      <c r="P22" s="31"/>
      <c r="Q22" s="31"/>
      <c r="R22" s="31"/>
      <c r="S22" s="31"/>
      <c r="T22" s="31"/>
      <c r="U22" s="31"/>
      <c r="V22" s="31"/>
      <c r="W22" s="31"/>
      <c r="X22" s="31"/>
      <c r="Y22" s="31"/>
      <c r="Z22" s="31"/>
      <c r="AA22" s="31"/>
    </row>
    <row r="23" spans="1:27">
      <c r="A23" s="33" t="s">
        <v>44</v>
      </c>
      <c r="B23" s="33" t="s">
        <v>77</v>
      </c>
      <c r="C23" s="31"/>
      <c r="D23" s="31"/>
      <c r="E23" s="31"/>
      <c r="F23" s="31"/>
      <c r="G23" s="31"/>
      <c r="H23" s="31"/>
      <c r="I23" s="31"/>
      <c r="J23" s="31"/>
      <c r="K23" s="31"/>
      <c r="L23" s="31"/>
      <c r="M23" s="31"/>
      <c r="N23" s="31"/>
      <c r="O23" s="31"/>
      <c r="P23" s="31"/>
      <c r="Q23" s="31"/>
      <c r="R23" s="31"/>
      <c r="S23" s="31"/>
      <c r="T23" s="31"/>
      <c r="U23" s="31"/>
      <c r="V23" s="31"/>
      <c r="W23" s="31"/>
      <c r="X23" s="31"/>
      <c r="Y23" s="31"/>
      <c r="Z23" s="31"/>
      <c r="AA23" s="31"/>
    </row>
    <row r="24" spans="1:27" ht="28.8">
      <c r="A24" s="34" t="s">
        <v>78</v>
      </c>
      <c r="B24" s="37">
        <v>48886</v>
      </c>
      <c r="C24" s="31"/>
      <c r="D24" s="31"/>
      <c r="E24" s="31"/>
      <c r="F24" s="31"/>
      <c r="G24" s="31"/>
      <c r="H24" s="31"/>
      <c r="I24" s="31"/>
      <c r="J24" s="31"/>
      <c r="K24" s="31"/>
      <c r="L24" s="31"/>
      <c r="M24" s="31"/>
      <c r="N24" s="31"/>
      <c r="O24" s="31"/>
      <c r="P24" s="31"/>
      <c r="Q24" s="31"/>
      <c r="R24" s="31"/>
      <c r="S24" s="31"/>
      <c r="T24" s="31"/>
      <c r="U24" s="31"/>
      <c r="V24" s="31"/>
      <c r="W24" s="31"/>
      <c r="X24" s="31"/>
      <c r="Y24" s="31"/>
      <c r="Z24" s="31"/>
      <c r="AA24" s="31"/>
    </row>
    <row r="25" spans="1:27">
      <c r="A25" s="34" t="s">
        <v>73</v>
      </c>
      <c r="B25" s="37">
        <v>119786</v>
      </c>
      <c r="C25" s="31"/>
      <c r="D25" s="31"/>
      <c r="E25" s="31"/>
      <c r="F25" s="31"/>
      <c r="G25" s="31"/>
      <c r="H25" s="31"/>
      <c r="I25" s="31"/>
      <c r="J25" s="31"/>
      <c r="K25" s="31"/>
      <c r="L25" s="31"/>
      <c r="M25" s="31"/>
      <c r="N25" s="31"/>
      <c r="O25" s="31"/>
      <c r="P25" s="31"/>
      <c r="Q25" s="31"/>
      <c r="R25" s="31"/>
      <c r="S25" s="31"/>
      <c r="T25" s="31"/>
      <c r="U25" s="31"/>
      <c r="V25" s="31"/>
      <c r="W25" s="31"/>
      <c r="X25" s="31"/>
      <c r="Y25" s="31"/>
      <c r="Z25" s="31"/>
      <c r="AA25" s="31"/>
    </row>
    <row r="26" spans="1:27">
      <c r="A26" s="34" t="s">
        <v>50</v>
      </c>
      <c r="B26" s="37">
        <v>168672</v>
      </c>
      <c r="C26" s="31"/>
      <c r="D26" s="31"/>
      <c r="E26" s="31"/>
      <c r="F26" s="31"/>
      <c r="G26" s="31"/>
      <c r="H26" s="31"/>
      <c r="I26" s="31"/>
      <c r="J26" s="31"/>
      <c r="K26" s="31"/>
      <c r="L26" s="31"/>
      <c r="M26" s="31"/>
      <c r="N26" s="31"/>
      <c r="O26" s="31"/>
      <c r="P26" s="31"/>
      <c r="Q26" s="31"/>
      <c r="R26" s="31"/>
      <c r="S26" s="31"/>
      <c r="T26" s="31"/>
      <c r="U26" s="31"/>
      <c r="V26" s="31"/>
      <c r="W26" s="31"/>
      <c r="X26" s="31"/>
      <c r="Y26" s="31"/>
      <c r="Z26" s="31"/>
      <c r="AA26" s="31"/>
    </row>
    <row r="27" spans="1:27" ht="28.8">
      <c r="A27" s="34" t="s">
        <v>79</v>
      </c>
      <c r="B27" s="34" t="s">
        <v>80</v>
      </c>
      <c r="C27" s="31"/>
      <c r="D27" s="31"/>
      <c r="E27" s="31"/>
      <c r="F27" s="31"/>
      <c r="G27" s="31"/>
      <c r="H27" s="31"/>
      <c r="I27" s="31"/>
      <c r="J27" s="31"/>
      <c r="K27" s="31"/>
      <c r="L27" s="31"/>
      <c r="M27" s="31"/>
      <c r="N27" s="31"/>
      <c r="O27" s="31"/>
      <c r="P27" s="31"/>
      <c r="Q27" s="31"/>
      <c r="R27" s="31"/>
      <c r="S27" s="31"/>
      <c r="T27" s="31"/>
      <c r="U27" s="31"/>
      <c r="V27" s="31"/>
      <c r="W27" s="31"/>
      <c r="X27" s="31"/>
      <c r="Y27" s="31"/>
      <c r="Z27" s="31"/>
      <c r="AA27" s="31"/>
    </row>
    <row r="28" spans="1:27">
      <c r="A28" s="34" t="s">
        <v>74</v>
      </c>
      <c r="B28" s="37">
        <v>174257</v>
      </c>
      <c r="C28" s="31"/>
      <c r="D28" s="31"/>
      <c r="E28" s="31"/>
      <c r="F28" s="31"/>
      <c r="G28" s="31"/>
      <c r="H28" s="31"/>
      <c r="I28" s="31"/>
      <c r="J28" s="31"/>
      <c r="K28" s="31"/>
      <c r="L28" s="31"/>
      <c r="M28" s="31"/>
      <c r="N28" s="31"/>
      <c r="O28" s="31"/>
      <c r="P28" s="31"/>
      <c r="Q28" s="31"/>
      <c r="R28" s="31"/>
      <c r="S28" s="31"/>
      <c r="T28" s="31"/>
      <c r="U28" s="31"/>
      <c r="V28" s="31"/>
      <c r="W28" s="31"/>
      <c r="X28" s="31"/>
      <c r="Y28" s="31"/>
      <c r="Z28" s="31"/>
      <c r="AA28" s="31"/>
    </row>
    <row r="29" spans="1:27" ht="28.8">
      <c r="A29" s="34" t="s">
        <v>81</v>
      </c>
      <c r="B29" s="34">
        <v>234.95</v>
      </c>
      <c r="C29" s="31"/>
      <c r="D29" s="31"/>
      <c r="E29" s="31"/>
      <c r="F29" s="31"/>
      <c r="G29" s="31"/>
      <c r="H29" s="31"/>
      <c r="I29" s="31"/>
      <c r="J29" s="31"/>
      <c r="K29" s="31"/>
      <c r="L29" s="31"/>
      <c r="M29" s="31"/>
      <c r="N29" s="31"/>
      <c r="O29" s="31"/>
      <c r="P29" s="31"/>
      <c r="Q29" s="31"/>
      <c r="R29" s="31"/>
      <c r="S29" s="31"/>
      <c r="T29" s="31"/>
      <c r="U29" s="31"/>
      <c r="V29" s="31"/>
      <c r="W29" s="31"/>
      <c r="X29" s="31"/>
      <c r="Y29" s="31"/>
      <c r="Z29" s="31"/>
      <c r="AA29" s="31"/>
    </row>
    <row r="30" spans="1:27" ht="28.8">
      <c r="A30" s="34" t="s">
        <v>82</v>
      </c>
      <c r="B30" s="34">
        <v>742</v>
      </c>
      <c r="C30" s="31"/>
      <c r="D30" s="31"/>
      <c r="E30" s="31"/>
      <c r="F30" s="31"/>
      <c r="G30" s="31"/>
      <c r="H30" s="31"/>
      <c r="I30" s="31"/>
      <c r="J30" s="31"/>
      <c r="K30" s="31"/>
      <c r="L30" s="31"/>
      <c r="M30" s="31"/>
      <c r="N30" s="31"/>
      <c r="O30" s="31"/>
      <c r="P30" s="31"/>
      <c r="Q30" s="31"/>
      <c r="R30" s="31"/>
      <c r="S30" s="31"/>
      <c r="T30" s="31"/>
      <c r="U30" s="31"/>
      <c r="V30" s="31"/>
      <c r="W30" s="31"/>
      <c r="X30" s="31"/>
      <c r="Y30" s="31"/>
      <c r="Z30" s="31"/>
      <c r="AA30" s="31"/>
    </row>
    <row r="31" spans="1:27">
      <c r="A31" s="31"/>
      <c r="B31" s="31"/>
      <c r="C31" s="31"/>
      <c r="D31" s="31"/>
      <c r="E31" s="31"/>
      <c r="F31" s="31"/>
      <c r="G31" s="31"/>
      <c r="H31" s="31"/>
      <c r="I31" s="31"/>
      <c r="J31" s="31"/>
      <c r="K31" s="31"/>
      <c r="L31" s="31"/>
      <c r="M31" s="31"/>
      <c r="N31" s="31"/>
      <c r="O31" s="31"/>
      <c r="P31" s="31"/>
      <c r="Q31" s="31"/>
      <c r="R31" s="31"/>
      <c r="S31" s="31"/>
      <c r="T31" s="31"/>
      <c r="U31" s="31"/>
      <c r="V31" s="31"/>
      <c r="W31" s="31"/>
      <c r="X31" s="31"/>
      <c r="Y31" s="31"/>
      <c r="Z31" s="31"/>
      <c r="AA31" s="31"/>
    </row>
    <row r="32" spans="1:27" ht="18">
      <c r="A32" s="32" t="s">
        <v>75</v>
      </c>
      <c r="B32" s="31"/>
      <c r="C32" s="31"/>
      <c r="D32" s="31"/>
      <c r="E32" s="31"/>
      <c r="F32" s="31"/>
      <c r="G32" s="31"/>
      <c r="H32" s="31"/>
      <c r="I32" s="31"/>
      <c r="J32" s="31"/>
      <c r="K32" s="31"/>
      <c r="L32" s="31"/>
      <c r="M32" s="31"/>
      <c r="N32" s="31"/>
      <c r="O32" s="31"/>
      <c r="P32" s="31"/>
      <c r="Q32" s="31"/>
      <c r="R32" s="31"/>
      <c r="S32" s="31"/>
      <c r="T32" s="31"/>
      <c r="U32" s="31"/>
      <c r="V32" s="31"/>
      <c r="W32" s="31"/>
      <c r="X32" s="31"/>
      <c r="Y32" s="31"/>
      <c r="Z32" s="31"/>
      <c r="AA32" s="31"/>
    </row>
    <row r="33" spans="1:27">
      <c r="A33" s="31"/>
      <c r="B33" s="31"/>
      <c r="C33" s="31"/>
      <c r="D33" s="31"/>
      <c r="E33" s="31"/>
      <c r="F33" s="31"/>
      <c r="G33" s="31"/>
      <c r="H33" s="31"/>
      <c r="I33" s="31"/>
      <c r="J33" s="31"/>
      <c r="K33" s="31"/>
      <c r="L33" s="31"/>
      <c r="M33" s="31"/>
      <c r="N33" s="31"/>
      <c r="O33" s="31"/>
      <c r="P33" s="31"/>
      <c r="Q33" s="31"/>
      <c r="R33" s="31"/>
      <c r="S33" s="31"/>
      <c r="T33" s="31"/>
      <c r="U33" s="31"/>
      <c r="V33" s="31"/>
      <c r="W33" s="31"/>
      <c r="X33" s="31"/>
      <c r="Y33" s="31"/>
      <c r="Z33" s="31"/>
      <c r="AA33" s="31"/>
    </row>
    <row r="34" spans="1:27" ht="28.8">
      <c r="A34" s="38">
        <f>'Sensitivity Analysis'!C6</f>
        <v>168671.68682192772</v>
      </c>
      <c r="B34" s="39" t="s">
        <v>83</v>
      </c>
      <c r="C34" s="39" t="s">
        <v>84</v>
      </c>
      <c r="D34" s="39" t="s">
        <v>85</v>
      </c>
      <c r="E34" s="39" t="s">
        <v>86</v>
      </c>
      <c r="F34" s="31"/>
      <c r="G34" s="31"/>
      <c r="H34" s="31"/>
      <c r="I34" s="31"/>
      <c r="J34" s="31"/>
      <c r="K34" s="31"/>
      <c r="L34" s="31"/>
      <c r="M34" s="31"/>
      <c r="N34" s="31"/>
      <c r="O34" s="31"/>
      <c r="P34" s="31"/>
      <c r="Q34" s="31"/>
      <c r="R34" s="31"/>
      <c r="S34" s="31"/>
      <c r="T34" s="31"/>
      <c r="U34" s="31"/>
      <c r="V34" s="31"/>
      <c r="W34" s="31"/>
      <c r="X34" s="31"/>
      <c r="Y34" s="31"/>
      <c r="Z34" s="31"/>
      <c r="AA34" s="31"/>
    </row>
    <row r="35" spans="1:27">
      <c r="A35" s="40" t="s">
        <v>87</v>
      </c>
      <c r="B35" s="41">
        <v>257601.94631737453</v>
      </c>
      <c r="C35" s="41">
        <v>312313.89341027848</v>
      </c>
      <c r="D35" s="41">
        <v>403500.47189845185</v>
      </c>
      <c r="E35" s="41">
        <v>585873.62887479842</v>
      </c>
      <c r="F35" s="31"/>
      <c r="G35" s="31"/>
      <c r="H35" s="31"/>
      <c r="I35" s="31"/>
      <c r="J35" s="31"/>
      <c r="K35" s="31"/>
      <c r="L35" s="31"/>
      <c r="M35" s="31"/>
      <c r="N35" s="31"/>
      <c r="O35" s="31"/>
      <c r="P35" s="31"/>
      <c r="Q35" s="31"/>
      <c r="R35" s="31"/>
      <c r="S35" s="31"/>
      <c r="T35" s="31"/>
      <c r="U35" s="31"/>
      <c r="V35" s="31"/>
      <c r="W35" s="31"/>
      <c r="X35" s="31"/>
      <c r="Y35" s="31"/>
      <c r="Z35" s="31"/>
      <c r="AA35" s="31"/>
    </row>
    <row r="36" spans="1:27">
      <c r="A36" s="40" t="s">
        <v>88</v>
      </c>
      <c r="B36" s="41">
        <v>214982.57340430285</v>
      </c>
      <c r="C36" s="41">
        <v>250136.99379472813</v>
      </c>
      <c r="D36" s="41">
        <v>302868.62438036606</v>
      </c>
      <c r="E36" s="41">
        <v>390754.67535642919</v>
      </c>
      <c r="F36" s="31"/>
      <c r="G36" s="31"/>
      <c r="H36" s="31"/>
      <c r="I36" s="31"/>
      <c r="J36" s="31"/>
      <c r="K36" s="31"/>
      <c r="L36" s="31"/>
      <c r="M36" s="31"/>
      <c r="N36" s="31"/>
      <c r="O36" s="31"/>
      <c r="P36" s="31"/>
      <c r="Q36" s="31"/>
      <c r="R36" s="31"/>
      <c r="S36" s="31"/>
      <c r="T36" s="31"/>
      <c r="U36" s="31"/>
      <c r="V36" s="31"/>
      <c r="W36" s="31"/>
      <c r="X36" s="31"/>
      <c r="Y36" s="31"/>
      <c r="Z36" s="31"/>
      <c r="AA36" s="31"/>
    </row>
    <row r="37" spans="1:27">
      <c r="A37" s="40" t="s">
        <v>51</v>
      </c>
      <c r="B37" s="41">
        <v>184899.79154961556</v>
      </c>
      <c r="C37" s="41">
        <v>209109.36609728177</v>
      </c>
      <c r="D37" s="41">
        <v>243002.77046401444</v>
      </c>
      <c r="E37" s="41">
        <v>293842.87701411342</v>
      </c>
      <c r="F37" s="31"/>
      <c r="G37" s="31"/>
      <c r="H37" s="31"/>
      <c r="I37" s="31"/>
      <c r="J37" s="31"/>
      <c r="K37" s="31"/>
      <c r="L37" s="31"/>
      <c r="M37" s="31"/>
      <c r="N37" s="31"/>
      <c r="O37" s="31"/>
      <c r="P37" s="31"/>
      <c r="Q37" s="31"/>
      <c r="R37" s="31"/>
      <c r="S37" s="31"/>
      <c r="T37" s="31"/>
      <c r="U37" s="31"/>
      <c r="V37" s="31"/>
      <c r="W37" s="31"/>
      <c r="X37" s="31"/>
      <c r="Y37" s="31"/>
      <c r="Z37" s="31"/>
      <c r="AA37" s="31"/>
    </row>
    <row r="38" spans="1:27">
      <c r="A38" s="42" t="s">
        <v>89</v>
      </c>
      <c r="B38" s="41">
        <v>153562.97179857371</v>
      </c>
      <c r="C38" s="41">
        <v>168671.68682192772</v>
      </c>
      <c r="D38" s="41">
        <v>188429.23723708297</v>
      </c>
      <c r="E38" s="41">
        <v>215371.35143956737</v>
      </c>
      <c r="F38" s="31"/>
      <c r="G38" s="31"/>
      <c r="H38" s="31"/>
      <c r="I38" s="31"/>
      <c r="J38" s="31"/>
      <c r="K38" s="31"/>
      <c r="L38" s="31"/>
      <c r="M38" s="31"/>
      <c r="N38" s="31"/>
      <c r="O38" s="31"/>
      <c r="P38" s="31"/>
      <c r="Q38" s="31"/>
      <c r="R38" s="31"/>
      <c r="S38" s="31"/>
      <c r="T38" s="31"/>
      <c r="U38" s="31"/>
      <c r="V38" s="31"/>
      <c r="W38" s="31"/>
      <c r="X38" s="31"/>
      <c r="Y38" s="31"/>
      <c r="Z38" s="31"/>
      <c r="AA38" s="31"/>
    </row>
    <row r="39" spans="1:27">
      <c r="A39" s="40" t="s">
        <v>90</v>
      </c>
      <c r="B39" s="41">
        <v>145560.46787905856</v>
      </c>
      <c r="C39" s="41">
        <v>158700.68681407627</v>
      </c>
      <c r="D39" s="41">
        <v>175595.25401624182</v>
      </c>
      <c r="E39" s="41">
        <v>198121.34361912924</v>
      </c>
      <c r="F39" s="31"/>
      <c r="G39" s="31"/>
      <c r="H39" s="31"/>
      <c r="I39" s="31"/>
      <c r="J39" s="31"/>
      <c r="K39" s="31"/>
      <c r="L39" s="31"/>
      <c r="M39" s="31"/>
      <c r="N39" s="31"/>
      <c r="O39" s="31"/>
      <c r="P39" s="31"/>
      <c r="Q39" s="31"/>
      <c r="R39" s="31"/>
      <c r="S39" s="31"/>
      <c r="T39" s="31"/>
      <c r="U39" s="31"/>
      <c r="V39" s="31"/>
      <c r="W39" s="31"/>
      <c r="X39" s="31"/>
      <c r="Y39" s="31"/>
      <c r="Z39" s="31"/>
      <c r="AA39" s="31"/>
    </row>
    <row r="40" spans="1:27">
      <c r="A40" s="31"/>
      <c r="B40" s="31"/>
      <c r="C40" s="31"/>
      <c r="D40" s="31"/>
      <c r="E40" s="31"/>
      <c r="F40" s="31"/>
      <c r="G40" s="31"/>
      <c r="H40" s="31"/>
      <c r="I40" s="31"/>
      <c r="J40" s="31"/>
      <c r="K40" s="31"/>
      <c r="L40" s="31"/>
      <c r="M40" s="31"/>
      <c r="N40" s="31"/>
      <c r="O40" s="31"/>
      <c r="P40" s="31"/>
      <c r="Q40" s="31"/>
      <c r="R40" s="31"/>
      <c r="S40" s="31"/>
      <c r="T40" s="31"/>
      <c r="U40" s="31"/>
      <c r="V40" s="31"/>
      <c r="W40" s="31"/>
      <c r="X40" s="31"/>
      <c r="Y40" s="31"/>
      <c r="Z40" s="31"/>
      <c r="AA40" s="31"/>
    </row>
    <row r="41" spans="1:27" ht="18">
      <c r="A41" s="32" t="s">
        <v>76</v>
      </c>
      <c r="B41" s="31"/>
      <c r="C41" s="31"/>
      <c r="D41" s="31"/>
      <c r="E41" s="31"/>
      <c r="F41" s="31"/>
      <c r="G41" s="31"/>
      <c r="H41" s="31"/>
      <c r="I41" s="31"/>
      <c r="J41" s="31"/>
      <c r="K41" s="31"/>
      <c r="L41" s="31"/>
      <c r="M41" s="31"/>
      <c r="N41" s="31"/>
      <c r="O41" s="31"/>
      <c r="P41" s="31"/>
      <c r="Q41" s="31"/>
      <c r="R41" s="31"/>
      <c r="S41" s="31"/>
      <c r="T41" s="31"/>
      <c r="U41" s="31"/>
      <c r="V41" s="31"/>
      <c r="W41" s="31"/>
      <c r="X41" s="31"/>
      <c r="Y41" s="31"/>
      <c r="Z41" s="31"/>
      <c r="AA41" s="31"/>
    </row>
    <row r="42" spans="1:27">
      <c r="A42" s="31"/>
      <c r="B42" s="31"/>
      <c r="C42" s="31"/>
      <c r="D42" s="31"/>
      <c r="E42" s="31"/>
      <c r="F42" s="31"/>
      <c r="G42" s="31"/>
      <c r="H42" s="31"/>
      <c r="I42" s="31"/>
      <c r="J42" s="31"/>
      <c r="K42" s="31"/>
      <c r="L42" s="31"/>
      <c r="M42" s="31"/>
      <c r="N42" s="31"/>
      <c r="O42" s="31"/>
      <c r="P42" s="31"/>
      <c r="Q42" s="31"/>
      <c r="R42" s="31"/>
      <c r="S42" s="31"/>
      <c r="T42" s="31"/>
      <c r="U42" s="31"/>
      <c r="V42" s="31"/>
      <c r="W42" s="31"/>
      <c r="X42" s="31"/>
      <c r="Y42" s="31"/>
      <c r="Z42" s="31"/>
      <c r="AA42" s="31"/>
    </row>
    <row r="43" spans="1:27">
      <c r="A43" s="31" t="s">
        <v>91</v>
      </c>
      <c r="B43" s="31"/>
      <c r="C43" s="31"/>
      <c r="D43" s="31"/>
      <c r="E43" s="31"/>
      <c r="F43" s="31"/>
      <c r="G43" s="31"/>
      <c r="H43" s="31"/>
      <c r="I43" s="31"/>
      <c r="J43" s="31"/>
      <c r="K43" s="31"/>
      <c r="L43" s="31"/>
      <c r="M43" s="31"/>
      <c r="N43" s="31"/>
      <c r="O43" s="31"/>
      <c r="P43" s="31"/>
      <c r="Q43" s="31"/>
      <c r="R43" s="31"/>
      <c r="S43" s="31"/>
      <c r="T43" s="31"/>
      <c r="U43" s="31"/>
      <c r="V43" s="31"/>
      <c r="W43" s="31"/>
      <c r="X43" s="31"/>
      <c r="Y43" s="31"/>
      <c r="Z43" s="31"/>
      <c r="AA43" s="31"/>
    </row>
    <row r="44" spans="1:27">
      <c r="A44" s="31"/>
      <c r="B44" s="31"/>
      <c r="C44" s="31"/>
      <c r="D44" s="31"/>
      <c r="E44" s="31"/>
      <c r="F44" s="31"/>
      <c r="G44" s="31"/>
      <c r="H44" s="31"/>
      <c r="I44" s="31"/>
      <c r="J44" s="31"/>
      <c r="K44" s="31"/>
      <c r="L44" s="31"/>
      <c r="M44" s="31"/>
      <c r="N44" s="31"/>
      <c r="O44" s="31"/>
      <c r="P44" s="31"/>
      <c r="Q44" s="31"/>
      <c r="R44" s="31"/>
      <c r="S44" s="31"/>
      <c r="T44" s="31"/>
      <c r="U44" s="31"/>
      <c r="V44" s="31"/>
      <c r="W44" s="31"/>
      <c r="X44" s="31"/>
      <c r="Y44" s="31"/>
      <c r="Z44" s="31"/>
      <c r="AA44" s="31"/>
    </row>
    <row r="45" spans="1:27">
      <c r="A45" s="31" t="s">
        <v>92</v>
      </c>
      <c r="B45" s="31"/>
      <c r="C45" s="31"/>
      <c r="D45" s="31"/>
      <c r="E45" s="31"/>
      <c r="F45" s="31"/>
      <c r="G45" s="31"/>
      <c r="H45" s="31"/>
      <c r="I45" s="31"/>
      <c r="J45" s="31"/>
      <c r="K45" s="31"/>
      <c r="L45" s="31"/>
      <c r="M45" s="31"/>
      <c r="N45" s="31"/>
      <c r="O45" s="31"/>
      <c r="P45" s="31"/>
      <c r="Q45" s="31"/>
      <c r="R45" s="31"/>
      <c r="S45" s="31"/>
      <c r="T45" s="31"/>
      <c r="U45" s="31"/>
      <c r="V45" s="31"/>
      <c r="W45" s="31"/>
      <c r="X45" s="31"/>
      <c r="Y45" s="31"/>
      <c r="Z45" s="31"/>
      <c r="AA45" s="31"/>
    </row>
    <row r="46" spans="1:27">
      <c r="A46" s="31"/>
      <c r="B46" s="31"/>
      <c r="C46" s="31"/>
      <c r="D46" s="31"/>
      <c r="E46" s="31"/>
      <c r="F46" s="31"/>
      <c r="G46" s="31"/>
      <c r="H46" s="31"/>
      <c r="I46" s="31"/>
      <c r="J46" s="31"/>
      <c r="K46" s="31"/>
      <c r="L46" s="31"/>
      <c r="M46" s="31"/>
      <c r="N46" s="31"/>
      <c r="O46" s="31"/>
      <c r="P46" s="31"/>
      <c r="Q46" s="31"/>
      <c r="R46" s="31"/>
      <c r="S46" s="31"/>
      <c r="T46" s="31"/>
      <c r="U46" s="31"/>
      <c r="V46" s="31"/>
      <c r="W46" s="31"/>
      <c r="X46" s="31"/>
      <c r="Y46" s="31"/>
      <c r="Z46" s="31"/>
      <c r="AA46" s="31"/>
    </row>
    <row r="47" spans="1:27">
      <c r="A47" s="31"/>
      <c r="B47" s="31"/>
      <c r="C47" s="31"/>
      <c r="D47" s="31"/>
      <c r="E47" s="31"/>
      <c r="F47" s="31"/>
      <c r="G47" s="31"/>
      <c r="H47" s="31"/>
      <c r="I47" s="31"/>
      <c r="J47" s="31"/>
      <c r="K47" s="31"/>
      <c r="L47" s="31"/>
      <c r="M47" s="31"/>
      <c r="N47" s="31"/>
      <c r="O47" s="31"/>
      <c r="P47" s="31"/>
      <c r="Q47" s="31"/>
      <c r="R47" s="31"/>
      <c r="S47" s="31"/>
      <c r="T47" s="31"/>
      <c r="U47" s="31"/>
      <c r="V47" s="31"/>
      <c r="W47" s="31"/>
      <c r="X47" s="31"/>
      <c r="Y47" s="31"/>
      <c r="Z47" s="31"/>
      <c r="AA47" s="31"/>
    </row>
  </sheetData>
  <pageMargins left="0.7" right="0.7" top="0.75" bottom="0.75" header="0.3" footer="0.3"/>
  <pageSetup scale="34" fitToWidth="0" fitToHeight="0"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3316AA-D4E8-42D9-B412-58582B798ABE}">
  <dimension ref="A1:B9"/>
  <sheetViews>
    <sheetView workbookViewId="0">
      <selection sqref="A1:D12"/>
    </sheetView>
  </sheetViews>
  <sheetFormatPr defaultRowHeight="14.4"/>
  <cols>
    <col min="1" max="1" width="23.44140625" bestFit="1" customWidth="1"/>
    <col min="2" max="2" width="28.21875" bestFit="1" customWidth="1"/>
  </cols>
  <sheetData>
    <row r="1" spans="1:2">
      <c r="A1" s="43" t="s">
        <v>100</v>
      </c>
      <c r="B1" s="43" t="s">
        <v>101</v>
      </c>
    </row>
    <row r="2" spans="1:2">
      <c r="A2" s="6" t="s">
        <v>93</v>
      </c>
      <c r="B2" s="6" t="s">
        <v>102</v>
      </c>
    </row>
    <row r="3" spans="1:2">
      <c r="A3" s="6" t="s">
        <v>94</v>
      </c>
      <c r="B3" s="6" t="s">
        <v>103</v>
      </c>
    </row>
    <row r="4" spans="1:2">
      <c r="A4" s="6" t="s">
        <v>95</v>
      </c>
      <c r="B4" s="6">
        <v>6</v>
      </c>
    </row>
    <row r="5" spans="1:2">
      <c r="A5" s="6" t="s">
        <v>96</v>
      </c>
      <c r="B5" s="9">
        <f>'DCF Summary'!B18</f>
        <v>0.115</v>
      </c>
    </row>
    <row r="6" spans="1:2">
      <c r="A6" s="6" t="s">
        <v>97</v>
      </c>
      <c r="B6" s="8">
        <f>'DCF Summary'!B19</f>
        <v>0.04</v>
      </c>
    </row>
    <row r="7" spans="1:2">
      <c r="A7" s="6" t="s">
        <v>98</v>
      </c>
      <c r="B7" s="6">
        <f>'DCF Summary'!B30</f>
        <v>742</v>
      </c>
    </row>
    <row r="8" spans="1:2">
      <c r="A8" s="6" t="s">
        <v>99</v>
      </c>
      <c r="B8" s="6">
        <v>2450</v>
      </c>
    </row>
    <row r="9" spans="1:2">
      <c r="A9" s="6" t="s">
        <v>104</v>
      </c>
      <c r="B9" s="2">
        <f>(B7-B8)/B8</f>
        <v>-0.69714285714285718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879C14-22C1-4BC8-B0CC-1C3DB5396AAF}">
  <dimension ref="A1:N12"/>
  <sheetViews>
    <sheetView workbookViewId="0">
      <selection activeCell="L19" sqref="L19"/>
    </sheetView>
  </sheetViews>
  <sheetFormatPr defaultRowHeight="14.4"/>
  <cols>
    <col min="1" max="1" width="8.21875" customWidth="1"/>
  </cols>
  <sheetData>
    <row r="1" spans="1:14" ht="72">
      <c r="A1" s="10" t="s">
        <v>108</v>
      </c>
      <c r="B1" s="10" t="s">
        <v>110</v>
      </c>
      <c r="C1" s="10" t="s">
        <v>109</v>
      </c>
      <c r="D1" s="10" t="s">
        <v>111</v>
      </c>
    </row>
    <row r="2" spans="1:14">
      <c r="A2" s="47" t="str">
        <f>'Historical data'!A7</f>
        <v>FY20</v>
      </c>
      <c r="B2" s="48" t="s">
        <v>112</v>
      </c>
      <c r="C2" s="49">
        <f>'Historical data'!B7</f>
        <v>39783</v>
      </c>
      <c r="D2" s="48">
        <f>'Historical data'!I7</f>
        <v>7335.75</v>
      </c>
      <c r="K2" s="45"/>
      <c r="L2" s="4"/>
      <c r="M2" s="46"/>
      <c r="N2" s="46"/>
    </row>
    <row r="3" spans="1:14">
      <c r="A3" s="47" t="str">
        <f>'Historical data'!A6</f>
        <v>FY21</v>
      </c>
      <c r="B3" s="48" t="s">
        <v>112</v>
      </c>
      <c r="C3" s="49">
        <f>'Historical data'!B6</f>
        <v>47028</v>
      </c>
      <c r="D3" s="48">
        <f>'Historical data'!I6</f>
        <v>5798.5</v>
      </c>
      <c r="K3" s="45"/>
      <c r="L3" s="4"/>
      <c r="M3" s="46"/>
      <c r="N3" s="46"/>
    </row>
    <row r="4" spans="1:14">
      <c r="A4" s="47" t="str">
        <f>'Historical data'!A5</f>
        <v>FY22</v>
      </c>
      <c r="B4" s="48" t="s">
        <v>112</v>
      </c>
      <c r="C4" s="49">
        <f>'Historical data'!B5</f>
        <v>52446</v>
      </c>
      <c r="D4" s="48">
        <f>'Historical data'!I5</f>
        <v>10603.75</v>
      </c>
      <c r="K4" s="45"/>
      <c r="L4" s="4"/>
      <c r="M4" s="46"/>
      <c r="N4" s="46"/>
    </row>
    <row r="5" spans="1:14">
      <c r="A5" s="47" t="str">
        <f>'Historical data'!A4</f>
        <v>FY23</v>
      </c>
      <c r="B5" s="48" t="s">
        <v>112</v>
      </c>
      <c r="C5" s="49">
        <f>'Historical data'!B4</f>
        <v>60580</v>
      </c>
      <c r="D5" s="48">
        <f>'Historical data'!I4</f>
        <v>11569.25</v>
      </c>
      <c r="K5" s="45"/>
      <c r="L5" s="4"/>
      <c r="M5" s="46"/>
      <c r="N5" s="46"/>
    </row>
    <row r="6" spans="1:14">
      <c r="A6" s="47" t="str">
        <f>'Historical data'!A3</f>
        <v>FY24</v>
      </c>
      <c r="B6" s="48" t="s">
        <v>112</v>
      </c>
      <c r="C6" s="49">
        <f>'Historical data'!B3</f>
        <v>61896</v>
      </c>
      <c r="D6" s="48">
        <f>'Historical data'!I3</f>
        <v>9756.25</v>
      </c>
      <c r="K6" s="45"/>
      <c r="L6" s="4"/>
      <c r="M6" s="46"/>
      <c r="N6" s="46"/>
    </row>
    <row r="7" spans="1:14">
      <c r="A7" s="50" t="str">
        <f>'Historical data'!A2</f>
        <v>FY25</v>
      </c>
      <c r="B7" s="48" t="s">
        <v>112</v>
      </c>
      <c r="C7" s="51">
        <f>'Historical data'!B2</f>
        <v>63121</v>
      </c>
      <c r="D7" s="6">
        <f>'Historical data'!I2</f>
        <v>11892.25</v>
      </c>
      <c r="K7" s="45"/>
      <c r="L7" s="4"/>
      <c r="M7" s="46"/>
      <c r="N7" s="46"/>
    </row>
    <row r="8" spans="1:14">
      <c r="A8" s="6" t="str">
        <f>'Forecasting assumption'!A2</f>
        <v>FY26</v>
      </c>
      <c r="B8" s="48" t="s">
        <v>113</v>
      </c>
      <c r="C8" s="6">
        <f>'Forecasting assumption'!B2</f>
        <v>66277.05</v>
      </c>
      <c r="D8" s="6">
        <f>'Forecasting assumption'!H2</f>
        <v>12247.791150000001</v>
      </c>
      <c r="K8" s="4"/>
      <c r="L8" s="4"/>
      <c r="M8" s="46"/>
      <c r="N8" s="46"/>
    </row>
    <row r="9" spans="1:14">
      <c r="A9" s="6" t="str">
        <f>'Forecasting assumption'!A3</f>
        <v>FY27</v>
      </c>
      <c r="B9" s="48" t="s">
        <v>113</v>
      </c>
      <c r="C9" s="51">
        <f>'Forecasting assumption'!B3</f>
        <v>69590.902500000011</v>
      </c>
      <c r="D9" s="6">
        <f>'Forecasting assumption'!H3</f>
        <v>12860.1807075</v>
      </c>
      <c r="K9" s="4"/>
      <c r="L9" s="4"/>
      <c r="M9" s="46"/>
      <c r="N9" s="46"/>
    </row>
    <row r="10" spans="1:14">
      <c r="A10" s="6" t="str">
        <f>'Forecasting assumption'!A4</f>
        <v>FY28</v>
      </c>
      <c r="B10" s="48" t="s">
        <v>113</v>
      </c>
      <c r="C10" s="6">
        <f>'Forecasting assumption'!B4</f>
        <v>73070.447625000015</v>
      </c>
      <c r="D10" s="6">
        <f>'Forecasting assumption'!H4</f>
        <v>13503.189742875002</v>
      </c>
      <c r="K10" s="4"/>
      <c r="L10" s="4"/>
      <c r="M10" s="46"/>
      <c r="N10" s="46"/>
    </row>
    <row r="11" spans="1:14">
      <c r="A11" s="6" t="str">
        <f>'Forecasting assumption'!A5</f>
        <v>FY29</v>
      </c>
      <c r="B11" s="48" t="s">
        <v>113</v>
      </c>
      <c r="C11" s="6">
        <f>'Forecasting assumption'!B5</f>
        <v>76723.97000625002</v>
      </c>
      <c r="D11" s="6">
        <f>'Forecasting assumption'!H5</f>
        <v>14178.349230018754</v>
      </c>
      <c r="K11" s="4"/>
      <c r="L11" s="4"/>
      <c r="M11" s="46"/>
      <c r="N11" s="46"/>
    </row>
    <row r="12" spans="1:14">
      <c r="A12" s="6" t="str">
        <f>'Forecasting assumption'!A6</f>
        <v>FY30</v>
      </c>
      <c r="B12" s="48" t="s">
        <v>113</v>
      </c>
      <c r="C12" s="6">
        <f>'Forecasting assumption'!B6</f>
        <v>80560.168506562521</v>
      </c>
      <c r="D12" s="6">
        <f>'Forecasting assumption'!H6</f>
        <v>14887.26669151969</v>
      </c>
      <c r="K12" s="4"/>
      <c r="L12" s="4"/>
      <c r="M12" s="46"/>
      <c r="N12" s="46"/>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3FF4F7-13DA-43D3-84E3-DB2844E14C1A}">
  <dimension ref="A1:C21"/>
  <sheetViews>
    <sheetView tabSelected="1" workbookViewId="0">
      <selection activeCell="H20" sqref="H20"/>
    </sheetView>
  </sheetViews>
  <sheetFormatPr defaultRowHeight="14.4"/>
  <cols>
    <col min="1" max="1" width="9.44140625" bestFit="1" customWidth="1"/>
    <col min="2" max="2" width="18.44140625" bestFit="1" customWidth="1"/>
    <col min="3" max="3" width="19.88671875" bestFit="1" customWidth="1"/>
    <col min="8" max="11" width="9.5546875" bestFit="1" customWidth="1"/>
  </cols>
  <sheetData>
    <row r="1" spans="1:3">
      <c r="A1" s="52" t="s">
        <v>96</v>
      </c>
      <c r="B1" s="52" t="s">
        <v>97</v>
      </c>
      <c r="C1" s="52" t="s">
        <v>120</v>
      </c>
    </row>
    <row r="2" spans="1:3">
      <c r="A2" s="48">
        <v>12</v>
      </c>
      <c r="B2" s="48">
        <v>3</v>
      </c>
      <c r="C2" s="48">
        <v>145560.47</v>
      </c>
    </row>
    <row r="3" spans="1:3">
      <c r="A3" s="48">
        <v>11.5</v>
      </c>
      <c r="B3" s="48">
        <v>3</v>
      </c>
      <c r="C3" s="48">
        <v>153562.97</v>
      </c>
    </row>
    <row r="4" spans="1:3">
      <c r="A4" s="48">
        <v>10</v>
      </c>
      <c r="B4" s="48">
        <v>3</v>
      </c>
      <c r="C4" s="48">
        <v>184899.79</v>
      </c>
    </row>
    <row r="5" spans="1:3">
      <c r="A5" s="48">
        <v>9</v>
      </c>
      <c r="B5" s="48">
        <v>3</v>
      </c>
      <c r="C5" s="48">
        <v>214982.57</v>
      </c>
    </row>
    <row r="6" spans="1:3">
      <c r="A6" s="48">
        <v>8</v>
      </c>
      <c r="B6" s="48">
        <v>3</v>
      </c>
      <c r="C6" s="48">
        <v>257601.95</v>
      </c>
    </row>
    <row r="7" spans="1:3">
      <c r="A7" s="48">
        <v>12</v>
      </c>
      <c r="B7" s="48">
        <v>4</v>
      </c>
      <c r="C7" s="48">
        <v>158700.69</v>
      </c>
    </row>
    <row r="8" spans="1:3">
      <c r="A8" s="48">
        <v>11.5</v>
      </c>
      <c r="B8" s="48">
        <v>4</v>
      </c>
      <c r="C8" s="48">
        <v>168671.69</v>
      </c>
    </row>
    <row r="9" spans="1:3">
      <c r="A9" s="48">
        <v>10</v>
      </c>
      <c r="B9" s="48">
        <v>4</v>
      </c>
      <c r="C9" s="48">
        <v>209109.37</v>
      </c>
    </row>
    <row r="10" spans="1:3">
      <c r="A10" s="48">
        <v>9</v>
      </c>
      <c r="B10" s="48">
        <v>4</v>
      </c>
      <c r="C10" s="48">
        <v>250136.99</v>
      </c>
    </row>
    <row r="11" spans="1:3">
      <c r="A11" s="48">
        <v>8</v>
      </c>
      <c r="B11" s="48">
        <v>4</v>
      </c>
      <c r="C11" s="48">
        <v>312313.89</v>
      </c>
    </row>
    <row r="12" spans="1:3">
      <c r="A12" s="48">
        <v>12</v>
      </c>
      <c r="B12" s="48">
        <v>5</v>
      </c>
      <c r="C12" s="48">
        <v>175595.25</v>
      </c>
    </row>
    <row r="13" spans="1:3">
      <c r="A13" s="48">
        <v>11.5</v>
      </c>
      <c r="B13" s="48">
        <v>5</v>
      </c>
      <c r="C13" s="48">
        <v>188429.24</v>
      </c>
    </row>
    <row r="14" spans="1:3">
      <c r="A14" s="48">
        <v>10</v>
      </c>
      <c r="B14" s="48">
        <v>5</v>
      </c>
      <c r="C14" s="48">
        <v>243002.77</v>
      </c>
    </row>
    <row r="15" spans="1:3">
      <c r="A15" s="48">
        <v>9</v>
      </c>
      <c r="B15" s="48">
        <v>5</v>
      </c>
      <c r="C15" s="48">
        <v>302868.62</v>
      </c>
    </row>
    <row r="16" spans="1:3">
      <c r="A16" s="48">
        <v>8</v>
      </c>
      <c r="B16" s="48">
        <v>5</v>
      </c>
      <c r="C16" s="48">
        <v>403500.47</v>
      </c>
    </row>
    <row r="17" spans="1:3">
      <c r="A17" s="48">
        <v>12</v>
      </c>
      <c r="B17" s="48">
        <v>6</v>
      </c>
      <c r="C17" s="48">
        <v>198121.34</v>
      </c>
    </row>
    <row r="18" spans="1:3">
      <c r="A18" s="48">
        <v>11.5</v>
      </c>
      <c r="B18" s="48">
        <v>6</v>
      </c>
      <c r="C18" s="48">
        <v>215371.35</v>
      </c>
    </row>
    <row r="19" spans="1:3">
      <c r="A19" s="48">
        <v>10</v>
      </c>
      <c r="B19" s="48">
        <v>6</v>
      </c>
      <c r="C19" s="48">
        <v>293842.88</v>
      </c>
    </row>
    <row r="20" spans="1:3">
      <c r="A20" s="48">
        <v>9</v>
      </c>
      <c r="B20" s="48">
        <v>6</v>
      </c>
      <c r="C20" s="48">
        <v>390754.68</v>
      </c>
    </row>
    <row r="21" spans="1:3">
      <c r="A21" s="48">
        <v>8</v>
      </c>
      <c r="B21" s="48">
        <v>6</v>
      </c>
      <c r="C21" s="48">
        <v>585873.63</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C6C178-FA0E-44A6-9313-277AF041BA47}">
  <dimension ref="A1:A5"/>
  <sheetViews>
    <sheetView workbookViewId="0">
      <selection activeCell="K14" sqref="K14"/>
    </sheetView>
  </sheetViews>
  <sheetFormatPr defaultRowHeight="14.4"/>
  <sheetData>
    <row r="1" spans="1:1">
      <c r="A1" s="44" t="s">
        <v>105</v>
      </c>
    </row>
    <row r="3" spans="1:1">
      <c r="A3" t="s">
        <v>106</v>
      </c>
    </row>
    <row r="4" spans="1:1">
      <c r="A4" s="44"/>
    </row>
    <row r="5" spans="1:1">
      <c r="A5" s="44" t="s">
        <v>107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Historical data</vt:lpstr>
      <vt:lpstr>Forecasting assumption</vt:lpstr>
      <vt:lpstr>DCF Valuation</vt:lpstr>
      <vt:lpstr>Sensitivity Analysis</vt:lpstr>
      <vt:lpstr>DCF Summary</vt:lpstr>
      <vt:lpstr>PB_Valuation_Summary</vt:lpstr>
      <vt:lpstr>PB_Cashflow_Drivers</vt:lpstr>
      <vt:lpstr>PB_Sensitivity</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Harshita Jadaun - Nuvama Wealth</dc:creator>
  <cp:lastModifiedBy>harshita singh</cp:lastModifiedBy>
  <dcterms:created xsi:type="dcterms:W3CDTF">2015-06-05T18:17:20Z</dcterms:created>
  <dcterms:modified xsi:type="dcterms:W3CDTF">2026-01-23T07:18:00Z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8f1f5d45-1543-4370-beb6-04289cc5d012_Enabled">
    <vt:lpwstr>true</vt:lpwstr>
  </property>
  <property fmtid="{D5CDD505-2E9C-101B-9397-08002B2CF9AE}" pid="3" name="MSIP_Label_8f1f5d45-1543-4370-beb6-04289cc5d012_SetDate">
    <vt:lpwstr>2025-12-03T05:39:49Z</vt:lpwstr>
  </property>
  <property fmtid="{D5CDD505-2E9C-101B-9397-08002B2CF9AE}" pid="4" name="MSIP_Label_8f1f5d45-1543-4370-beb6-04289cc5d012_Method">
    <vt:lpwstr>Standard</vt:lpwstr>
  </property>
  <property fmtid="{D5CDD505-2E9C-101B-9397-08002B2CF9AE}" pid="5" name="MSIP_Label_8f1f5d45-1543-4370-beb6-04289cc5d012_Name">
    <vt:lpwstr>Internal</vt:lpwstr>
  </property>
  <property fmtid="{D5CDD505-2E9C-101B-9397-08002B2CF9AE}" pid="6" name="MSIP_Label_8f1f5d45-1543-4370-beb6-04289cc5d012_SiteId">
    <vt:lpwstr>9201f936-0a1d-49af-82ee-4ee4345c1ad7</vt:lpwstr>
  </property>
  <property fmtid="{D5CDD505-2E9C-101B-9397-08002B2CF9AE}" pid="7" name="MSIP_Label_8f1f5d45-1543-4370-beb6-04289cc5d012_ActionId">
    <vt:lpwstr>3d5ae7c2-5d81-4de1-8cf5-dfe44dce6a36</vt:lpwstr>
  </property>
  <property fmtid="{D5CDD505-2E9C-101B-9397-08002B2CF9AE}" pid="8" name="MSIP_Label_8f1f5d45-1543-4370-beb6-04289cc5d012_ContentBits">
    <vt:lpwstr>0</vt:lpwstr>
  </property>
  <property fmtid="{D5CDD505-2E9C-101B-9397-08002B2CF9AE}" pid="9" name="MSIP_Label_8f1f5d45-1543-4370-beb6-04289cc5d012_Tag">
    <vt:lpwstr>10, 3, 0, 1</vt:lpwstr>
  </property>
</Properties>
</file>