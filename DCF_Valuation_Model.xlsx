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1465CE7-DAEE-4D87-ABAF-C0D95FAB194F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Historical data" sheetId="1" r:id="rId1"/>
    <sheet name="Forecasting assumption" sheetId="2" r:id="rId2"/>
    <sheet name="DCF Valuation" sheetId="3" r:id="rId3"/>
    <sheet name="Sensitivity Analysis" sheetId="8" r:id="rId4"/>
    <sheet name="DCF Summary" sheetId="9" r:id="rId5"/>
    <sheet name="PB_Valuation_Summary" sheetId="10" r:id="rId6"/>
    <sheet name="PB_Cashflow_Drivers" sheetId="12" r:id="rId7"/>
    <sheet name="PB_Sensitivity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2" l="1"/>
  <c r="D10" i="12"/>
  <c r="D11" i="12"/>
  <c r="D12" i="12"/>
  <c r="D8" i="12"/>
  <c r="D7" i="12"/>
  <c r="D6" i="12"/>
  <c r="D5" i="12"/>
  <c r="D4" i="12"/>
  <c r="D3" i="12"/>
  <c r="D2" i="12"/>
  <c r="C7" i="12"/>
  <c r="C6" i="12"/>
  <c r="C5" i="12"/>
  <c r="C4" i="12"/>
  <c r="C3" i="12"/>
  <c r="C2" i="12"/>
  <c r="C9" i="12"/>
  <c r="C10" i="12"/>
  <c r="C11" i="12"/>
  <c r="C12" i="12"/>
  <c r="C8" i="12"/>
  <c r="A11" i="12"/>
  <c r="A12" i="12"/>
  <c r="A10" i="12"/>
  <c r="A9" i="12"/>
  <c r="A8" i="12"/>
  <c r="A7" i="12"/>
  <c r="A6" i="12"/>
  <c r="A5" i="12"/>
  <c r="A4" i="12"/>
  <c r="A3" i="12"/>
  <c r="A2" i="12"/>
  <c r="B9" i="10"/>
  <c r="B7" i="10"/>
  <c r="B6" i="10"/>
  <c r="B5" i="10"/>
  <c r="A34" i="9"/>
  <c r="C6" i="8"/>
  <c r="B9" i="8"/>
  <c r="I2" i="2"/>
  <c r="D11" i="3" s="1"/>
  <c r="D9" i="3"/>
  <c r="H6" i="2"/>
  <c r="F2" i="2"/>
  <c r="F3" i="2" s="1"/>
  <c r="F4" i="2" s="1"/>
  <c r="F5" i="2" s="1"/>
  <c r="F6" i="2" s="1"/>
  <c r="B2" i="2"/>
  <c r="E2" i="2" s="1"/>
  <c r="G5" i="3"/>
  <c r="G4" i="3"/>
  <c r="G3" i="3"/>
  <c r="G2" i="3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B3" i="2" l="1"/>
  <c r="G2" i="2"/>
  <c r="C2" i="2"/>
  <c r="D2" i="2" s="1"/>
  <c r="G6" i="3"/>
  <c r="B2" i="3" l="1"/>
  <c r="C2" i="3" s="1"/>
  <c r="H2" i="2"/>
  <c r="C3" i="2"/>
  <c r="D3" i="2" s="1"/>
  <c r="B4" i="2"/>
  <c r="G3" i="2"/>
  <c r="E3" i="2"/>
  <c r="B3" i="3" l="1"/>
  <c r="C3" i="3" s="1"/>
  <c r="H3" i="2"/>
  <c r="I3" i="2" s="1"/>
  <c r="G4" i="2"/>
  <c r="E4" i="2"/>
  <c r="C4" i="2"/>
  <c r="D4" i="2" s="1"/>
  <c r="B5" i="2"/>
  <c r="H4" i="2" l="1"/>
  <c r="I4" i="2" s="1"/>
  <c r="B4" i="3"/>
  <c r="C4" i="3" s="1"/>
  <c r="G5" i="2"/>
  <c r="C5" i="2"/>
  <c r="D5" i="2" s="1"/>
  <c r="B6" i="2"/>
  <c r="E5" i="2"/>
  <c r="B5" i="3" l="1"/>
  <c r="C5" i="3" s="1"/>
  <c r="H5" i="2"/>
  <c r="E6" i="2"/>
  <c r="G6" i="2"/>
  <c r="C6" i="2"/>
  <c r="D6" i="2" s="1"/>
  <c r="I5" i="2"/>
  <c r="B6" i="3" l="1"/>
  <c r="C6" i="3" s="1"/>
  <c r="I6" i="2"/>
  <c r="D10" i="3"/>
  <c r="D12" i="3" l="1"/>
</calcChain>
</file>

<file path=xl/sharedStrings.xml><?xml version="1.0" encoding="utf-8"?>
<sst xmlns="http://schemas.openxmlformats.org/spreadsheetml/2006/main" count="142" uniqueCount="118">
  <si>
    <t>Operating revenue</t>
  </si>
  <si>
    <t>Operating Profit (EBIT)</t>
  </si>
  <si>
    <t>Net Profit (PAT)</t>
  </si>
  <si>
    <t xml:space="preserve"> Depreciation</t>
  </si>
  <si>
    <t>CapEx</t>
  </si>
  <si>
    <t>Change in working capital</t>
  </si>
  <si>
    <t>Free cash flow</t>
  </si>
  <si>
    <t xml:space="preserve">NOPAT Assuming tax rate at 25% </t>
  </si>
  <si>
    <t>FY26</t>
  </si>
  <si>
    <t>FY27</t>
  </si>
  <si>
    <t>FY28</t>
  </si>
  <si>
    <t>FY29</t>
  </si>
  <si>
    <t>FY30</t>
  </si>
  <si>
    <t>Future revenue assuming growth rate at 5%</t>
  </si>
  <si>
    <t>EBIT Margin</t>
  </si>
  <si>
    <t>Future EBIT assuming at 24%</t>
  </si>
  <si>
    <t>Depreciation to sale ratio</t>
  </si>
  <si>
    <t>Future CapEx Assuming at 5%</t>
  </si>
  <si>
    <t>WC % of Revenue</t>
  </si>
  <si>
    <t>WC change (avg i.e, -0.4%)</t>
  </si>
  <si>
    <t>Depreciation (avg i.e., 1.9%)</t>
  </si>
  <si>
    <t>Free Cash Flow</t>
  </si>
  <si>
    <t>Parameter</t>
  </si>
  <si>
    <t>Needed From Market</t>
  </si>
  <si>
    <t>Risk-free Rate (10-year G-sec)</t>
  </si>
  <si>
    <t>Beta (HUL stock volatility vs market)</t>
  </si>
  <si>
    <t>Cost of Debt %</t>
  </si>
  <si>
    <t>Market Cap</t>
  </si>
  <si>
    <t>Total Debt</t>
  </si>
  <si>
    <t>Tax rate Assuming</t>
  </si>
  <si>
    <t>ERP — Equity Risk Premium India (Assumption)</t>
  </si>
  <si>
    <t>Cost of equity</t>
  </si>
  <si>
    <t>5.78 lakh crore</t>
  </si>
  <si>
    <t>almost 0</t>
  </si>
  <si>
    <t>WACC</t>
  </si>
  <si>
    <t>We</t>
  </si>
  <si>
    <t>Wd</t>
  </si>
  <si>
    <t>PV of FCF</t>
  </si>
  <si>
    <t>Terminal Value</t>
  </si>
  <si>
    <t>PV of terminal Value</t>
  </si>
  <si>
    <t>Enterprise value</t>
  </si>
  <si>
    <t>Interinsic equity value</t>
  </si>
  <si>
    <t>Interinsic price</t>
  </si>
  <si>
    <r>
      <t xml:space="preserve">HUL shares ≈ </t>
    </r>
    <r>
      <rPr>
        <b/>
        <sz val="11"/>
        <color theme="1"/>
        <rFont val="Calibri"/>
        <family val="2"/>
        <scheme val="minor"/>
      </rPr>
      <t>235 Cr shares</t>
    </r>
  </si>
  <si>
    <t>Metric</t>
  </si>
  <si>
    <t>Calculated values</t>
  </si>
  <si>
    <t>Growth assumption</t>
  </si>
  <si>
    <t>PV of FCF (Years 1–5)</t>
  </si>
  <si>
    <t>FCF in Final Year (Year 5)</t>
  </si>
  <si>
    <t>Growth (g)</t>
  </si>
  <si>
    <t>Enterprise Value (EV)</t>
  </si>
  <si>
    <t>WACC=10%</t>
  </si>
  <si>
    <t>This discounted cash flow model estimates the intrinsic value of Hindustan Unilever Limited (HUL) based on projected free cash flows for FY26–FY30 and a terminal value calculated using long-term growth assumptions. Sensitivity analysis across various WACC and terminal growth scenarios has been included to ensure robustness.</t>
  </si>
  <si>
    <t>EXECUTIVE SUMMARY</t>
  </si>
  <si>
    <t>HUL Valuation Summary – DCF Approach</t>
  </si>
  <si>
    <t>Category</t>
  </si>
  <si>
    <t>Assumption</t>
  </si>
  <si>
    <t>Forecast Period</t>
  </si>
  <si>
    <t>5 Years (FY26–FY30)</t>
  </si>
  <si>
    <t>Revenue Growth</t>
  </si>
  <si>
    <t>5% per annum</t>
  </si>
  <si>
    <t>Tax Rate</t>
  </si>
  <si>
    <t>Depreciation</t>
  </si>
  <si>
    <t>1.9% of revenue</t>
  </si>
  <si>
    <t>CapEx Growth</t>
  </si>
  <si>
    <t>WC Change</t>
  </si>
  <si>
    <t>–0.4% of revenue</t>
  </si>
  <si>
    <t>Final Year FCF</t>
  </si>
  <si>
    <t>₹14,887 crore</t>
  </si>
  <si>
    <t>WACC (Base Case)</t>
  </si>
  <si>
    <t>Terminal Growth (g)</t>
  </si>
  <si>
    <t>KEY ASSUMPTIONS TABLE</t>
  </si>
  <si>
    <t>VALUATION OUTPUT</t>
  </si>
  <si>
    <t>PV of Terminal Value</t>
  </si>
  <si>
    <t>Equity Value</t>
  </si>
  <si>
    <t>SENSITIVITY ANALYSIS</t>
  </si>
  <si>
    <t>Valuation Conclusion</t>
  </si>
  <si>
    <t>Value (₹ Crore)</t>
  </si>
  <si>
    <t>PV of Free Cash Flows (FY26–FY30)</t>
  </si>
  <si>
    <t>Net Debt (Negative = Net Cash)</t>
  </si>
  <si>
    <t>–5,585</t>
  </si>
  <si>
    <t>Shares Outstanding (Crore)</t>
  </si>
  <si>
    <t>Intrinsic Value Per Share (₹)</t>
  </si>
  <si>
    <t>Growth Rate =3%</t>
  </si>
  <si>
    <t>Growth rate =4%</t>
  </si>
  <si>
    <t>Growth rate =5%</t>
  </si>
  <si>
    <t>Growth rate =6%</t>
  </si>
  <si>
    <t>WACC=8%</t>
  </si>
  <si>
    <t>WACC=9%</t>
  </si>
  <si>
    <t>WACC=11.5%</t>
  </si>
  <si>
    <t>WACC=12%</t>
  </si>
  <si>
    <t>Under the base-case assumptions (WACC: 11.5%, terminal growth: 4%), the DCF-derived intrinsic value is lower than the current market price. However, sensitivity analysis indicates that the market valuation of HUL can be justified under scenarios involving a lower cost of capital and/or higher long-term growth assumptions.</t>
  </si>
  <si>
    <t>This suggests that current market prices embed a premium for HUL’s strong brand equity, predictable cash flows, and lower perceived business risk, positioning the stock as a long-duration, defensive compounder rather than a valuation-driven opportunity.</t>
  </si>
  <si>
    <t>Company Name</t>
  </si>
  <si>
    <t>Valuation Method</t>
  </si>
  <si>
    <t>Forecast Period (Years)</t>
  </si>
  <si>
    <t>WACC (%)</t>
  </si>
  <si>
    <t>Terminal Growth (%)</t>
  </si>
  <si>
    <t>Intrinsic Value per Share (₹)</t>
  </si>
  <si>
    <t>Current Market Price (₹)</t>
  </si>
  <si>
    <t>Metrics</t>
  </si>
  <si>
    <t>Values</t>
  </si>
  <si>
    <t>Hindustan Unilever Limited (HUL)</t>
  </si>
  <si>
    <t>DCF (FCFF)</t>
  </si>
  <si>
    <t>Upside / Downside vs Market (%)</t>
  </si>
  <si>
    <t>Year</t>
  </si>
  <si>
    <t>Revenue (₹ Cr)</t>
  </si>
  <si>
    <t>Period Type</t>
  </si>
  <si>
    <t>Free Cash Flow – FCFF (₹ Cr)</t>
  </si>
  <si>
    <t>Historical</t>
  </si>
  <si>
    <t>Forecast</t>
  </si>
  <si>
    <t>FY20</t>
  </si>
  <si>
    <t>FY21</t>
  </si>
  <si>
    <t>FY23</t>
  </si>
  <si>
    <t>FY22</t>
  </si>
  <si>
    <t>FY24</t>
  </si>
  <si>
    <t>FY25</t>
  </si>
  <si>
    <t>Enterprise Value (₹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</si>
</sst>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/>
    </xf>
    <xf numFmtId="10" fontId="0" fillId="0" borderId="1" xfId="2" applyNumberFormat="1" applyFont="1" applyBorder="1"/>
    <xf numFmtId="164" fontId="0" fillId="0" borderId="1" xfId="1" applyFont="1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9" fontId="0" fillId="0" borderId="1" xfId="2" applyFont="1" applyBorder="1" applyAlignment="1">
      <alignment vertical="center"/>
    </xf>
    <xf numFmtId="9" fontId="0" fillId="0" borderId="1" xfId="0" applyNumberFormat="1" applyBorder="1"/>
    <xf numFmtId="10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7" fontId="2" fillId="2" borderId="1" xfId="0" applyNumberFormat="1" applyFont="1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0" fillId="0" borderId="1" xfId="0" applyNumberFormat="1" applyBorder="1"/>
    <xf numFmtId="164" fontId="0" fillId="0" borderId="1" xfId="0" applyNumberFormat="1" applyBorder="1" applyAlignment="1">
      <alignment horizontal="left" indent="1"/>
    </xf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164" fontId="2" fillId="4" borderId="1" xfId="0" applyNumberFormat="1" applyFont="1" applyFill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vertical="center" wrapText="1"/>
    </xf>
    <xf numFmtId="10" fontId="2" fillId="4" borderId="1" xfId="0" applyNumberFormat="1" applyFont="1" applyFill="1" applyBorder="1" applyAlignment="1">
      <alignment vertical="center" wrapText="1"/>
    </xf>
    <xf numFmtId="2" fontId="0" fillId="5" borderId="1" xfId="0" applyNumberFormat="1" applyFill="1" applyBorder="1" applyAlignment="1">
      <alignment vertical="center" wrapText="1"/>
    </xf>
    <xf numFmtId="0" fontId="4" fillId="6" borderId="0" xfId="0" applyFont="1" applyFill="1" applyAlignment="1">
      <alignment vertical="center"/>
    </xf>
    <xf numFmtId="0" fontId="0" fillId="6" borderId="0" xfId="0" applyFill="1"/>
    <xf numFmtId="0" fontId="5" fillId="6" borderId="0" xfId="0" applyFont="1" applyFill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9" fontId="0" fillId="6" borderId="1" xfId="0" applyNumberFormat="1" applyFill="1" applyBorder="1" applyAlignment="1">
      <alignment vertical="center" wrapText="1"/>
    </xf>
    <xf numFmtId="10" fontId="0" fillId="6" borderId="1" xfId="0" applyNumberFormat="1" applyFill="1" applyBorder="1" applyAlignment="1">
      <alignment vertical="center" wrapText="1"/>
    </xf>
    <xf numFmtId="3" fontId="0" fillId="6" borderId="1" xfId="0" applyNumberFormat="1" applyFill="1" applyBorder="1" applyAlignment="1">
      <alignment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9" fontId="2" fillId="6" borderId="1" xfId="0" applyNumberFormat="1" applyFont="1" applyFill="1" applyBorder="1" applyAlignment="1">
      <alignment horizontal="center" vertical="center" wrapText="1"/>
    </xf>
    <xf numFmtId="9" fontId="2" fillId="6" borderId="1" xfId="0" applyNumberFormat="1" applyFont="1" applyFill="1" applyBorder="1" applyAlignment="1">
      <alignment vertical="center" wrapText="1"/>
    </xf>
    <xf numFmtId="2" fontId="0" fillId="6" borderId="1" xfId="0" applyNumberFormat="1" applyFill="1" applyBorder="1" applyAlignment="1">
      <alignment vertical="center" wrapText="1"/>
    </xf>
    <xf numFmtId="10" fontId="2" fillId="6" borderId="1" xfId="0" applyNumberFormat="1" applyFont="1" applyFill="1" applyBorder="1" applyAlignment="1">
      <alignment vertical="center" wrapText="1"/>
    </xf>
    <xf numFmtId="0" fontId="2" fillId="0" borderId="1" xfId="0" applyFont="1" applyBorder="1"/>
    <xf numFmtId="17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7" fontId="0" fillId="0" borderId="1" xfId="0" applyNumberFormat="1" applyBorder="1"/>
    <xf numFmtId="2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workbookViewId="0">
      <selection activeCell="C13" sqref="C13"/>
    </sheetView>
  </sheetViews>
  <sheetFormatPr defaultRowHeight="14.4"/>
  <cols>
    <col min="1" max="1" width="7.77734375" customWidth="1"/>
    <col min="2" max="2" width="10.88671875" customWidth="1"/>
    <col min="3" max="3" width="14.77734375" customWidth="1"/>
    <col min="4" max="4" width="11.109375" customWidth="1"/>
    <col min="5" max="5" width="14.109375" customWidth="1"/>
    <col min="6" max="6" width="10.109375" customWidth="1"/>
    <col min="7" max="7" width="9.109375" customWidth="1"/>
    <col min="8" max="9" width="10.109375" bestFit="1" customWidth="1"/>
    <col min="11" max="11" width="11.6640625" customWidth="1"/>
    <col min="14" max="14" width="31" customWidth="1"/>
    <col min="15" max="15" width="13.21875" customWidth="1"/>
  </cols>
  <sheetData>
    <row r="1" spans="1:13" s="1" customFormat="1" ht="57.6">
      <c r="A1" s="14"/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2" t="s">
        <v>5</v>
      </c>
      <c r="H1" s="12" t="s">
        <v>7</v>
      </c>
      <c r="I1" s="12" t="s">
        <v>6</v>
      </c>
      <c r="J1" s="11" t="s">
        <v>14</v>
      </c>
      <c r="K1" s="11" t="s">
        <v>16</v>
      </c>
      <c r="L1" s="12" t="s">
        <v>18</v>
      </c>
    </row>
    <row r="2" spans="1:13">
      <c r="A2" s="13" t="s">
        <v>116</v>
      </c>
      <c r="B2" s="3">
        <v>63121</v>
      </c>
      <c r="C2" s="3">
        <v>14843</v>
      </c>
      <c r="D2" s="3">
        <v>10671</v>
      </c>
      <c r="E2" s="3">
        <v>1355</v>
      </c>
      <c r="F2" s="3">
        <v>1149</v>
      </c>
      <c r="G2" s="3">
        <v>-554</v>
      </c>
      <c r="H2" s="3">
        <f t="shared" ref="H2:H7" si="0">C2*(1-25%)</f>
        <v>11132.25</v>
      </c>
      <c r="I2" s="3">
        <f t="shared" ref="I2:I7" si="1">H2+E2-F2-G2</f>
        <v>11892.25</v>
      </c>
      <c r="J2" s="2">
        <f t="shared" ref="J2:J7" si="2">C2/B2</f>
        <v>0.23515153435465216</v>
      </c>
      <c r="K2" s="2">
        <f t="shared" ref="K2:K7" si="3">E2/B2</f>
        <v>2.1466706801223048E-2</v>
      </c>
      <c r="L2" s="2">
        <f t="shared" ref="L2:L7" si="4">G2/B2</f>
        <v>-8.7767937770314164E-3</v>
      </c>
    </row>
    <row r="3" spans="1:13">
      <c r="A3" s="13" t="s">
        <v>115</v>
      </c>
      <c r="B3" s="3">
        <v>61896</v>
      </c>
      <c r="C3" s="3">
        <v>14659</v>
      </c>
      <c r="D3" s="3">
        <v>10282</v>
      </c>
      <c r="E3" s="3">
        <v>1216</v>
      </c>
      <c r="F3" s="3">
        <v>1318</v>
      </c>
      <c r="G3" s="3">
        <v>1136</v>
      </c>
      <c r="H3" s="3">
        <f t="shared" si="0"/>
        <v>10994.25</v>
      </c>
      <c r="I3" s="3">
        <f t="shared" si="1"/>
        <v>9756.25</v>
      </c>
      <c r="J3" s="2">
        <f t="shared" si="2"/>
        <v>0.23683275171255008</v>
      </c>
      <c r="K3" s="2">
        <f t="shared" si="3"/>
        <v>1.9645857567532635E-2</v>
      </c>
      <c r="L3" s="2">
        <f t="shared" si="4"/>
        <v>1.8353366938089699E-2</v>
      </c>
    </row>
    <row r="4" spans="1:13">
      <c r="A4" s="13" t="s">
        <v>113</v>
      </c>
      <c r="B4" s="3">
        <v>60580</v>
      </c>
      <c r="C4" s="3">
        <v>14147</v>
      </c>
      <c r="D4" s="3">
        <v>10143</v>
      </c>
      <c r="E4" s="3">
        <v>1137</v>
      </c>
      <c r="F4" s="3">
        <v>1041</v>
      </c>
      <c r="G4" s="3">
        <v>-863</v>
      </c>
      <c r="H4" s="3">
        <f t="shared" si="0"/>
        <v>10610.25</v>
      </c>
      <c r="I4" s="3">
        <f t="shared" si="1"/>
        <v>11569.25</v>
      </c>
      <c r="J4" s="2">
        <f t="shared" si="2"/>
        <v>0.23352591614394189</v>
      </c>
      <c r="K4" s="2">
        <f t="shared" si="3"/>
        <v>1.8768570485308684E-2</v>
      </c>
      <c r="L4" s="2">
        <f t="shared" si="4"/>
        <v>-1.4245625619016176E-2</v>
      </c>
    </row>
    <row r="5" spans="1:13">
      <c r="A5" s="13" t="s">
        <v>114</v>
      </c>
      <c r="B5" s="3">
        <v>52446</v>
      </c>
      <c r="C5" s="3">
        <v>12857</v>
      </c>
      <c r="D5" s="3">
        <v>8892</v>
      </c>
      <c r="E5" s="3">
        <v>1091</v>
      </c>
      <c r="F5" s="3">
        <v>919</v>
      </c>
      <c r="G5" s="3">
        <v>-789</v>
      </c>
      <c r="H5" s="3">
        <f t="shared" si="0"/>
        <v>9642.75</v>
      </c>
      <c r="I5" s="3">
        <f t="shared" si="1"/>
        <v>10603.75</v>
      </c>
      <c r="J5" s="2">
        <f t="shared" si="2"/>
        <v>0.24514738969606834</v>
      </c>
      <c r="K5" s="2">
        <f t="shared" si="3"/>
        <v>2.0802349082866187E-2</v>
      </c>
      <c r="L5" s="2">
        <f t="shared" si="4"/>
        <v>-1.5044045303740991E-2</v>
      </c>
    </row>
    <row r="6" spans="1:13">
      <c r="A6" s="13" t="s">
        <v>112</v>
      </c>
      <c r="B6" s="3">
        <v>47028</v>
      </c>
      <c r="C6" s="3">
        <v>11626</v>
      </c>
      <c r="D6" s="3">
        <v>7999</v>
      </c>
      <c r="E6" s="3">
        <v>1074</v>
      </c>
      <c r="F6" s="3">
        <v>4051</v>
      </c>
      <c r="G6" s="3">
        <v>-56</v>
      </c>
      <c r="H6" s="3">
        <f t="shared" si="0"/>
        <v>8719.5</v>
      </c>
      <c r="I6" s="3">
        <f t="shared" si="1"/>
        <v>5798.5</v>
      </c>
      <c r="J6" s="2">
        <f t="shared" si="2"/>
        <v>0.24721442544866887</v>
      </c>
      <c r="K6" s="2">
        <f t="shared" si="3"/>
        <v>2.2837458535340648E-2</v>
      </c>
      <c r="L6" s="2">
        <f t="shared" si="4"/>
        <v>-1.1907799608743728E-3</v>
      </c>
    </row>
    <row r="7" spans="1:13">
      <c r="A7" s="13" t="s">
        <v>111</v>
      </c>
      <c r="B7" s="3">
        <v>39783</v>
      </c>
      <c r="C7" s="3">
        <v>9861</v>
      </c>
      <c r="D7" s="3">
        <v>6756</v>
      </c>
      <c r="E7" s="3">
        <v>1002</v>
      </c>
      <c r="F7" s="3">
        <v>765</v>
      </c>
      <c r="G7" s="3">
        <v>297</v>
      </c>
      <c r="H7" s="3">
        <f t="shared" si="0"/>
        <v>7395.75</v>
      </c>
      <c r="I7" s="3">
        <f t="shared" si="1"/>
        <v>7335.75</v>
      </c>
      <c r="J7" s="2">
        <f t="shared" si="2"/>
        <v>0.24786969308498605</v>
      </c>
      <c r="K7" s="2">
        <f t="shared" si="3"/>
        <v>2.5186637508483524E-2</v>
      </c>
      <c r="L7" s="2">
        <f t="shared" si="4"/>
        <v>7.4655003393409242E-3</v>
      </c>
    </row>
    <row r="10" spans="1:13">
      <c r="M10" s="4"/>
    </row>
    <row r="11" spans="1:13">
      <c r="M11" s="4"/>
    </row>
    <row r="12" spans="1:13">
      <c r="M12" s="4"/>
    </row>
    <row r="13" spans="1:13">
      <c r="M13" s="4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7B91-C1BC-4AFD-8022-FD6387D8754B}">
  <dimension ref="A1:M7"/>
  <sheetViews>
    <sheetView workbookViewId="0">
      <selection activeCell="L13" sqref="L13"/>
    </sheetView>
  </sheetViews>
  <sheetFormatPr defaultRowHeight="14.4"/>
  <cols>
    <col min="2" max="4" width="10.109375" bestFit="1" customWidth="1"/>
    <col min="5" max="6" width="9.109375" bestFit="1" customWidth="1"/>
    <col min="8" max="9" width="10.109375" bestFit="1" customWidth="1"/>
    <col min="12" max="12" width="31.33203125" customWidth="1"/>
    <col min="13" max="13" width="13.21875" bestFit="1" customWidth="1"/>
  </cols>
  <sheetData>
    <row r="1" spans="1:13" ht="72">
      <c r="A1" s="15"/>
      <c r="B1" s="11" t="s">
        <v>13</v>
      </c>
      <c r="C1" s="11" t="s">
        <v>15</v>
      </c>
      <c r="D1" s="11" t="s">
        <v>7</v>
      </c>
      <c r="E1" s="11" t="s">
        <v>20</v>
      </c>
      <c r="F1" s="11" t="s">
        <v>17</v>
      </c>
      <c r="G1" s="11" t="s">
        <v>19</v>
      </c>
      <c r="H1" s="11" t="s">
        <v>21</v>
      </c>
      <c r="I1" s="11" t="s">
        <v>37</v>
      </c>
      <c r="L1" s="10" t="s">
        <v>22</v>
      </c>
      <c r="M1" s="10" t="s">
        <v>23</v>
      </c>
    </row>
    <row r="2" spans="1:13">
      <c r="A2" s="16" t="s">
        <v>8</v>
      </c>
      <c r="B2" s="3">
        <f>'Historical data'!B2*(1+5%)</f>
        <v>66277.05</v>
      </c>
      <c r="C2" s="3">
        <f>B2*24%</f>
        <v>15906.492</v>
      </c>
      <c r="D2" s="3">
        <f>C2*(1-25%)</f>
        <v>11929.869000000001</v>
      </c>
      <c r="E2" s="3">
        <f>B2*1.9%</f>
        <v>1259.26395</v>
      </c>
      <c r="F2" s="3">
        <f>'Historical data'!F2*(1+5%)</f>
        <v>1206.45</v>
      </c>
      <c r="G2" s="3">
        <f>B2*-0.4%</f>
        <v>-265.10820000000001</v>
      </c>
      <c r="H2" s="3">
        <f>D2+E2-F2-G2</f>
        <v>12247.791150000001</v>
      </c>
      <c r="I2" s="3">
        <f>H2/(1+'DCF Valuation'!$G$6)^1</f>
        <v>10984.885478695833</v>
      </c>
      <c r="L2" s="5" t="s">
        <v>24</v>
      </c>
      <c r="M2" s="9">
        <v>6.5199999999999994E-2</v>
      </c>
    </row>
    <row r="3" spans="1:13">
      <c r="A3" s="16" t="s">
        <v>9</v>
      </c>
      <c r="B3" s="3">
        <f>B2*(1+5%)</f>
        <v>69590.902500000011</v>
      </c>
      <c r="C3" s="3">
        <f>B3*24%</f>
        <v>16701.816600000002</v>
      </c>
      <c r="D3" s="3">
        <f>C3*(1-25%)</f>
        <v>12526.362450000001</v>
      </c>
      <c r="E3" s="3">
        <f>B3*1.9%</f>
        <v>1322.2271475000002</v>
      </c>
      <c r="F3" s="3">
        <f>F2*(1+5%)</f>
        <v>1266.7725</v>
      </c>
      <c r="G3" s="3">
        <f>B3*-0.4%</f>
        <v>-278.36361000000005</v>
      </c>
      <c r="H3" s="3">
        <f>D3+E3-F3-G3</f>
        <v>12860.1807075</v>
      </c>
      <c r="I3" s="3">
        <f>H3/(1+'DCF Valuation'!$G$6)^2</f>
        <v>10344.811801356169</v>
      </c>
      <c r="L3" s="5" t="s">
        <v>25</v>
      </c>
      <c r="M3" s="6">
        <v>0.83</v>
      </c>
    </row>
    <row r="4" spans="1:13">
      <c r="A4" s="16" t="s">
        <v>10</v>
      </c>
      <c r="B4" s="3">
        <f>B3*(1+5%)</f>
        <v>73070.447625000015</v>
      </c>
      <c r="C4" s="3">
        <f>B4*24%</f>
        <v>17536.907430000003</v>
      </c>
      <c r="D4" s="3">
        <f>C4*(1-25%)</f>
        <v>13152.680572500001</v>
      </c>
      <c r="E4" s="3">
        <f>B4*1.9%</f>
        <v>1388.3385048750004</v>
      </c>
      <c r="F4" s="3">
        <f>F3*(1+5%)</f>
        <v>1330.1111250000001</v>
      </c>
      <c r="G4" s="3">
        <f>B4*-0.4%</f>
        <v>-292.28179050000006</v>
      </c>
      <c r="H4" s="3">
        <f>D4+E4-F4-G4</f>
        <v>13503.189742875002</v>
      </c>
      <c r="I4" s="3">
        <f>H4/(1+'DCF Valuation'!$G$6)^3</f>
        <v>9742.0343082341515</v>
      </c>
      <c r="L4" s="5" t="s">
        <v>30</v>
      </c>
      <c r="M4" s="8">
        <v>0.06</v>
      </c>
    </row>
    <row r="5" spans="1:13">
      <c r="A5" s="16" t="s">
        <v>11</v>
      </c>
      <c r="B5" s="3">
        <f>B4*(1+5%)</f>
        <v>76723.97000625002</v>
      </c>
      <c r="C5" s="3">
        <f>B5*24%</f>
        <v>18413.752801500003</v>
      </c>
      <c r="D5" s="3">
        <f>C5*(1-25%)</f>
        <v>13810.314601125003</v>
      </c>
      <c r="E5" s="3">
        <f>B5*1.9%</f>
        <v>1457.7554301187504</v>
      </c>
      <c r="F5" s="3">
        <f>F4*(1+5%)</f>
        <v>1396.6166812500003</v>
      </c>
      <c r="G5" s="3">
        <f>B5*-0.4%</f>
        <v>-306.89588002500011</v>
      </c>
      <c r="H5" s="3">
        <f>D5+E5-F5-G5</f>
        <v>14178.349230018754</v>
      </c>
      <c r="I5" s="3">
        <f>H5/(1+'DCF Valuation'!$G$6)^4</f>
        <v>9174.3798036392709</v>
      </c>
      <c r="L5" s="5" t="s">
        <v>27</v>
      </c>
      <c r="M5" s="5" t="s">
        <v>32</v>
      </c>
    </row>
    <row r="6" spans="1:13">
      <c r="A6" s="16" t="s">
        <v>12</v>
      </c>
      <c r="B6" s="3">
        <f>B5*(1+5%)</f>
        <v>80560.168506562521</v>
      </c>
      <c r="C6" s="3">
        <f>B6*24%</f>
        <v>19334.440441575003</v>
      </c>
      <c r="D6" s="3">
        <f>C6*(1-25%)</f>
        <v>14500.830331181252</v>
      </c>
      <c r="E6" s="3">
        <f>B6*1.9%</f>
        <v>1530.6432016246879</v>
      </c>
      <c r="F6" s="3">
        <f>F5*(1+5%)</f>
        <v>1466.4475153125004</v>
      </c>
      <c r="G6" s="3">
        <f>B6*-0.4%</f>
        <v>-322.24067402625008</v>
      </c>
      <c r="H6" s="3">
        <f>D6+E6-F6-G6</f>
        <v>14887.26669151969</v>
      </c>
      <c r="I6" s="3">
        <f>H6/(1+'DCF Valuation'!$G$6)^5</f>
        <v>8639.8017209077898</v>
      </c>
      <c r="L6" s="5" t="s">
        <v>28</v>
      </c>
      <c r="M6" s="5" t="s">
        <v>33</v>
      </c>
    </row>
    <row r="7" spans="1:13">
      <c r="L7" s="5" t="s">
        <v>29</v>
      </c>
      <c r="M7" s="7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6C6B-5C75-4EA1-85DC-4A8A2E6C180C}">
  <dimension ref="A1:G12"/>
  <sheetViews>
    <sheetView workbookViewId="0">
      <selection activeCell="F2" sqref="F2:G7"/>
    </sheetView>
  </sheetViews>
  <sheetFormatPr defaultRowHeight="14.4"/>
  <cols>
    <col min="2" max="3" width="10.109375" bestFit="1" customWidth="1"/>
    <col min="4" max="4" width="13.109375" bestFit="1" customWidth="1"/>
    <col min="5" max="5" width="8.44140625" bestFit="1" customWidth="1"/>
    <col min="6" max="6" width="13.109375" bestFit="1" customWidth="1"/>
  </cols>
  <sheetData>
    <row r="1" spans="1:7" ht="28.8">
      <c r="A1" s="15"/>
      <c r="B1" s="11" t="s">
        <v>21</v>
      </c>
      <c r="C1" s="11" t="s">
        <v>37</v>
      </c>
      <c r="F1" s="10" t="s">
        <v>22</v>
      </c>
      <c r="G1" s="10" t="s">
        <v>45</v>
      </c>
    </row>
    <row r="2" spans="1:7">
      <c r="A2" s="16" t="s">
        <v>8</v>
      </c>
      <c r="B2" s="3">
        <f>'Forecasting assumption'!D2+'Forecasting assumption'!E2-'Forecasting assumption'!F2-'Forecasting assumption'!G2</f>
        <v>12247.791150000001</v>
      </c>
      <c r="C2" s="3">
        <f>B2/(1+$G$6)^1</f>
        <v>10984.885478695833</v>
      </c>
      <c r="F2" s="5" t="s">
        <v>31</v>
      </c>
      <c r="G2" s="2">
        <f>('Forecasting assumption'!M2)+'Forecasting assumption'!M3*'Forecasting assumption'!M4</f>
        <v>0.11499999999999999</v>
      </c>
    </row>
    <row r="3" spans="1:7">
      <c r="A3" s="16" t="s">
        <v>9</v>
      </c>
      <c r="B3" s="3">
        <f>'Forecasting assumption'!D3+'Forecasting assumption'!E3-'Forecasting assumption'!F3-'Forecasting assumption'!G3</f>
        <v>12860.1807075</v>
      </c>
      <c r="C3" s="3">
        <f>B3/(1+$G$6)^2</f>
        <v>10344.811801356169</v>
      </c>
      <c r="F3" s="5" t="s">
        <v>26</v>
      </c>
      <c r="G3" s="9">
        <f>7%*(1-25%)</f>
        <v>5.2500000000000005E-2</v>
      </c>
    </row>
    <row r="4" spans="1:7">
      <c r="A4" s="16" t="s">
        <v>10</v>
      </c>
      <c r="B4" s="3">
        <f>'Forecasting assumption'!D4+'Forecasting assumption'!E4-'Forecasting assumption'!F4-'Forecasting assumption'!G4</f>
        <v>13503.189742875002</v>
      </c>
      <c r="C4" s="3">
        <f>B4/(1+$G$6)^3</f>
        <v>9742.0343082341515</v>
      </c>
      <c r="F4" s="5" t="s">
        <v>35</v>
      </c>
      <c r="G4" s="2">
        <f>578000/(578000+300)</f>
        <v>0.99948123811170675</v>
      </c>
    </row>
    <row r="5" spans="1:7">
      <c r="A5" s="16" t="s">
        <v>11</v>
      </c>
      <c r="B5" s="3">
        <f>'Forecasting assumption'!D5+'Forecasting assumption'!E5-'Forecasting assumption'!F5-'Forecasting assumption'!G5</f>
        <v>14178.349230018754</v>
      </c>
      <c r="C5" s="3">
        <f>B5/(1+$G$6)^4</f>
        <v>9174.3798036392709</v>
      </c>
      <c r="F5" s="5" t="s">
        <v>36</v>
      </c>
      <c r="G5" s="2">
        <f>300/(578000+300)</f>
        <v>5.1876188829327343E-4</v>
      </c>
    </row>
    <row r="6" spans="1:7">
      <c r="A6" s="16" t="s">
        <v>12</v>
      </c>
      <c r="B6" s="3">
        <f>'Forecasting assumption'!D6+'Forecasting assumption'!E6-'Forecasting assumption'!F6-'Forecasting assumption'!G6</f>
        <v>14887.26669151969</v>
      </c>
      <c r="C6" s="3">
        <f>B6/(1+$G$6)^5</f>
        <v>8639.8017209077898</v>
      </c>
      <c r="F6" s="5" t="s">
        <v>34</v>
      </c>
      <c r="G6" s="9">
        <f>G4*G2+(G5*G3)</f>
        <v>0.11496757738198167</v>
      </c>
    </row>
    <row r="7" spans="1:7">
      <c r="F7" s="5" t="s">
        <v>46</v>
      </c>
      <c r="G7" s="8">
        <v>0.04</v>
      </c>
    </row>
    <row r="9" spans="1:7" ht="28.8">
      <c r="C9" s="18" t="s">
        <v>38</v>
      </c>
      <c r="D9" s="19">
        <f>'Forecasting assumption'!H6*(1+G7)/(G6-G7)</f>
        <v>206526.04632388361</v>
      </c>
    </row>
    <row r="10" spans="1:7" ht="43.2">
      <c r="C10" s="18" t="s">
        <v>39</v>
      </c>
      <c r="D10" s="19">
        <f>D9/(1+'DCF Valuation'!G6)^5</f>
        <v>119857.06492769398</v>
      </c>
    </row>
    <row r="11" spans="1:7" ht="43.2">
      <c r="B11" s="17" t="s">
        <v>41</v>
      </c>
      <c r="C11" s="18" t="s">
        <v>40</v>
      </c>
      <c r="D11" s="20">
        <f>(SUM('Forecasting assumption'!I2:I6))+D10</f>
        <v>168742.9780405272</v>
      </c>
    </row>
    <row r="12" spans="1:7" ht="28.8">
      <c r="C12" s="18" t="s">
        <v>42</v>
      </c>
      <c r="D12" s="19">
        <f>D11/235</f>
        <v>718.05522570437108</v>
      </c>
      <c r="E1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41B3-C01D-4659-A15D-D1625A8C84A8}">
  <dimension ref="B1:L14"/>
  <sheetViews>
    <sheetView topLeftCell="A2" workbookViewId="0">
      <selection activeCell="B9" sqref="B9:F14"/>
    </sheetView>
  </sheetViews>
  <sheetFormatPr defaultRowHeight="14.4"/>
  <cols>
    <col min="1" max="1" width="16.5546875" bestFit="1" customWidth="1"/>
    <col min="2" max="2" width="14.21875" customWidth="1"/>
    <col min="3" max="3" width="11.5546875" bestFit="1" customWidth="1"/>
    <col min="4" max="4" width="12" bestFit="1" customWidth="1"/>
    <col min="5" max="6" width="11.5546875" bestFit="1" customWidth="1"/>
  </cols>
  <sheetData>
    <row r="1" spans="2:12">
      <c r="B1" s="23" t="s">
        <v>47</v>
      </c>
      <c r="C1" s="23">
        <v>48886</v>
      </c>
    </row>
    <row r="2" spans="2:12">
      <c r="B2" s="23" t="s">
        <v>48</v>
      </c>
      <c r="C2" s="23">
        <v>14887</v>
      </c>
    </row>
    <row r="3" spans="2:12">
      <c r="B3" s="23" t="s">
        <v>34</v>
      </c>
      <c r="C3" s="24">
        <v>0.115</v>
      </c>
    </row>
    <row r="4" spans="2:12">
      <c r="B4" s="23" t="s">
        <v>49</v>
      </c>
      <c r="C4" s="24">
        <v>0.04</v>
      </c>
      <c r="K4" s="22"/>
      <c r="L4" s="22"/>
    </row>
    <row r="5" spans="2:12">
      <c r="J5" s="22"/>
      <c r="K5" s="22"/>
    </row>
    <row r="6" spans="2:12">
      <c r="B6" s="23" t="s">
        <v>50</v>
      </c>
      <c r="C6" s="21">
        <f xml:space="preserve"> $C$1 +( ($C$2 * (1 + C$4) / (C3 - C$4) ) / (1 + C3)^5)</f>
        <v>168671.68682192772</v>
      </c>
      <c r="J6" s="1"/>
      <c r="L6" s="23"/>
    </row>
    <row r="9" spans="2:12">
      <c r="B9" s="25">
        <f>C6</f>
        <v>168671.68682192772</v>
      </c>
      <c r="C9" s="26">
        <v>0.03</v>
      </c>
      <c r="D9" s="26">
        <v>0.04</v>
      </c>
      <c r="E9" s="26">
        <v>0.05</v>
      </c>
      <c r="F9" s="26">
        <v>0.06</v>
      </c>
    </row>
    <row r="10" spans="2:12">
      <c r="B10" s="27">
        <v>0.08</v>
      </c>
      <c r="C10" s="29">
        <f t="dataTable" ref="C10:F14" dt2D="1" dtr="1" r1="C4" r2="C3"/>
        <v>257601.94631737453</v>
      </c>
      <c r="D10" s="29">
        <v>312313.89341027848</v>
      </c>
      <c r="E10" s="29">
        <v>403500.47189845185</v>
      </c>
      <c r="F10" s="29">
        <v>585873.62887479842</v>
      </c>
    </row>
    <row r="11" spans="2:12">
      <c r="B11" s="27">
        <v>0.09</v>
      </c>
      <c r="C11" s="29">
        <v>214982.57340430285</v>
      </c>
      <c r="D11" s="29">
        <v>250136.99379472813</v>
      </c>
      <c r="E11" s="29">
        <v>302868.62438036606</v>
      </c>
      <c r="F11" s="29">
        <v>390754.67535642919</v>
      </c>
    </row>
    <row r="12" spans="2:12">
      <c r="B12" s="27">
        <v>0.1</v>
      </c>
      <c r="C12" s="29">
        <v>184899.79154961556</v>
      </c>
      <c r="D12" s="29">
        <v>209109.36609728177</v>
      </c>
      <c r="E12" s="29">
        <v>243002.77046401444</v>
      </c>
      <c r="F12" s="29">
        <v>293842.87701411342</v>
      </c>
    </row>
    <row r="13" spans="2:12">
      <c r="B13" s="28">
        <v>0.115</v>
      </c>
      <c r="C13" s="29">
        <v>153562.97179857371</v>
      </c>
      <c r="D13" s="29">
        <v>168671.68682192772</v>
      </c>
      <c r="E13" s="29">
        <v>188429.23723708297</v>
      </c>
      <c r="F13" s="29">
        <v>215371.35143956737</v>
      </c>
    </row>
    <row r="14" spans="2:12">
      <c r="B14" s="27">
        <v>0.12</v>
      </c>
      <c r="C14" s="29">
        <v>145560.46787905856</v>
      </c>
      <c r="D14" s="29">
        <v>158700.68681407627</v>
      </c>
      <c r="E14" s="29">
        <v>175595.25401624182</v>
      </c>
      <c r="F14" s="29">
        <v>198121.34361912924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DE0A-0B1E-44B9-A733-C30416D2CB9B}">
  <dimension ref="A1:AA47"/>
  <sheetViews>
    <sheetView topLeftCell="A26" workbookViewId="0">
      <selection activeCell="A34" sqref="A34:F39"/>
    </sheetView>
  </sheetViews>
  <sheetFormatPr defaultRowHeight="14.4"/>
  <cols>
    <col min="1" max="1" width="18.5546875" customWidth="1"/>
    <col min="2" max="2" width="17.88671875" customWidth="1"/>
    <col min="3" max="3" width="14.6640625" customWidth="1"/>
    <col min="4" max="5" width="9.5546875" bestFit="1" customWidth="1"/>
  </cols>
  <sheetData>
    <row r="1" spans="1:27" ht="31.2">
      <c r="A1" s="30" t="s">
        <v>53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27" ht="18">
      <c r="A3" s="32" t="s">
        <v>54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spans="1:27">
      <c r="A5" s="31" t="s">
        <v>52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8">
      <c r="A7" s="32" t="s">
        <v>71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>
      <c r="A9" s="33" t="s">
        <v>55</v>
      </c>
      <c r="B9" s="33" t="s">
        <v>56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>
      <c r="A10" s="34" t="s">
        <v>57</v>
      </c>
      <c r="B10" s="34" t="s">
        <v>58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>
      <c r="A11" s="34" t="s">
        <v>59</v>
      </c>
      <c r="B11" s="34" t="s">
        <v>60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>
      <c r="A12" s="34" t="s">
        <v>14</v>
      </c>
      <c r="B12" s="35">
        <v>0.24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>
      <c r="A13" s="34" t="s">
        <v>61</v>
      </c>
      <c r="B13" s="35">
        <v>0.25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>
      <c r="A14" s="34" t="s">
        <v>62</v>
      </c>
      <c r="B14" s="34" t="s">
        <v>63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>
      <c r="A15" s="34" t="s">
        <v>64</v>
      </c>
      <c r="B15" s="34" t="s">
        <v>60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>
      <c r="A16" s="34" t="s">
        <v>65</v>
      </c>
      <c r="B16" s="34" t="s">
        <v>66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1:27">
      <c r="A17" s="34" t="s">
        <v>67</v>
      </c>
      <c r="B17" s="34" t="s">
        <v>68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1:27">
      <c r="A18" s="34" t="s">
        <v>69</v>
      </c>
      <c r="B18" s="36">
        <v>0.115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7">
      <c r="A19" s="34" t="s">
        <v>70</v>
      </c>
      <c r="B19" s="35">
        <v>0.04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7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ht="18">
      <c r="A21" s="32" t="s">
        <v>72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:27">
      <c r="A23" s="33" t="s">
        <v>44</v>
      </c>
      <c r="B23" s="33" t="s">
        <v>77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27" ht="28.8">
      <c r="A24" s="34" t="s">
        <v>78</v>
      </c>
      <c r="B24" s="37">
        <v>48886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>
      <c r="A25" s="34" t="s">
        <v>73</v>
      </c>
      <c r="B25" s="37">
        <v>119786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>
      <c r="A26" s="34" t="s">
        <v>50</v>
      </c>
      <c r="B26" s="37">
        <v>168672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27" ht="28.8">
      <c r="A27" s="34" t="s">
        <v>79</v>
      </c>
      <c r="B27" s="34" t="s">
        <v>80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>
      <c r="A28" s="34" t="s">
        <v>74</v>
      </c>
      <c r="B28" s="37">
        <v>174257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27" ht="28.8">
      <c r="A29" s="34" t="s">
        <v>81</v>
      </c>
      <c r="B29" s="34">
        <v>234.95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27" ht="28.8">
      <c r="A30" s="34" t="s">
        <v>82</v>
      </c>
      <c r="B30" s="34">
        <v>742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27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27" ht="18">
      <c r="A32" s="32" t="s">
        <v>75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28.8">
      <c r="A34" s="38">
        <f>'Sensitivity Analysis'!C6</f>
        <v>168671.68682192772</v>
      </c>
      <c r="B34" s="39" t="s">
        <v>83</v>
      </c>
      <c r="C34" s="39" t="s">
        <v>84</v>
      </c>
      <c r="D34" s="39" t="s">
        <v>85</v>
      </c>
      <c r="E34" s="39" t="s">
        <v>86</v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>
      <c r="A35" s="40" t="s">
        <v>87</v>
      </c>
      <c r="B35" s="41">
        <v>257601.94631737453</v>
      </c>
      <c r="C35" s="41">
        <v>312313.89341027848</v>
      </c>
      <c r="D35" s="41">
        <v>403500.47189845185</v>
      </c>
      <c r="E35" s="41">
        <v>585873.62887479842</v>
      </c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>
      <c r="A36" s="40" t="s">
        <v>88</v>
      </c>
      <c r="B36" s="41">
        <v>214982.57340430285</v>
      </c>
      <c r="C36" s="41">
        <v>250136.99379472813</v>
      </c>
      <c r="D36" s="41">
        <v>302868.62438036606</v>
      </c>
      <c r="E36" s="41">
        <v>390754.67535642919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>
      <c r="A37" s="40" t="s">
        <v>51</v>
      </c>
      <c r="B37" s="41">
        <v>184899.79154961556</v>
      </c>
      <c r="C37" s="41">
        <v>209109.36609728177</v>
      </c>
      <c r="D37" s="41">
        <v>243002.77046401444</v>
      </c>
      <c r="E37" s="41">
        <v>293842.87701411342</v>
      </c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1:27">
      <c r="A38" s="42" t="s">
        <v>89</v>
      </c>
      <c r="B38" s="41">
        <v>153562.97179857371</v>
      </c>
      <c r="C38" s="41">
        <v>168671.68682192772</v>
      </c>
      <c r="D38" s="41">
        <v>188429.23723708297</v>
      </c>
      <c r="E38" s="41">
        <v>215371.35143956737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27">
      <c r="A39" s="40" t="s">
        <v>90</v>
      </c>
      <c r="B39" s="41">
        <v>145560.46787905856</v>
      </c>
      <c r="C39" s="41">
        <v>158700.68681407627</v>
      </c>
      <c r="D39" s="41">
        <v>175595.25401624182</v>
      </c>
      <c r="E39" s="41">
        <v>198121.34361912924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1:27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spans="1:27" ht="18">
      <c r="A41" s="32" t="s">
        <v>76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>
      <c r="A43" s="31" t="s">
        <v>91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>
      <c r="A45" s="31" t="s">
        <v>92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</sheetData>
  <pageMargins left="0.7" right="0.7" top="0.75" bottom="0.75" header="0.3" footer="0.3"/>
  <pageSetup scale="34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16AA-D4E8-42D9-B412-58582B798ABE}">
  <dimension ref="A1:B9"/>
  <sheetViews>
    <sheetView workbookViewId="0">
      <selection sqref="A1:D12"/>
    </sheetView>
  </sheetViews>
  <sheetFormatPr defaultRowHeight="14.4"/>
  <cols>
    <col min="1" max="1" width="23.44140625" bestFit="1" customWidth="1"/>
    <col min="2" max="2" width="28.21875" bestFit="1" customWidth="1"/>
  </cols>
  <sheetData>
    <row r="1" spans="1:2">
      <c r="A1" s="43" t="s">
        <v>100</v>
      </c>
      <c r="B1" s="43" t="s">
        <v>101</v>
      </c>
    </row>
    <row r="2" spans="1:2">
      <c r="A2" s="6" t="s">
        <v>93</v>
      </c>
      <c r="B2" s="6" t="s">
        <v>102</v>
      </c>
    </row>
    <row r="3" spans="1:2">
      <c r="A3" s="6" t="s">
        <v>94</v>
      </c>
      <c r="B3" s="6" t="s">
        <v>103</v>
      </c>
    </row>
    <row r="4" spans="1:2">
      <c r="A4" s="6" t="s">
        <v>95</v>
      </c>
      <c r="B4" s="6">
        <v>6</v>
      </c>
    </row>
    <row r="5" spans="1:2">
      <c r="A5" s="6" t="s">
        <v>96</v>
      </c>
      <c r="B5" s="9">
        <f>'DCF Summary'!B18</f>
        <v>0.115</v>
      </c>
    </row>
    <row r="6" spans="1:2">
      <c r="A6" s="6" t="s">
        <v>97</v>
      </c>
      <c r="B6" s="8">
        <f>'DCF Summary'!B19</f>
        <v>0.04</v>
      </c>
    </row>
    <row r="7" spans="1:2">
      <c r="A7" s="6" t="s">
        <v>98</v>
      </c>
      <c r="B7" s="6">
        <f>'DCF Summary'!B30</f>
        <v>742</v>
      </c>
    </row>
    <row r="8" spans="1:2">
      <c r="A8" s="6" t="s">
        <v>99</v>
      </c>
      <c r="B8" s="6">
        <v>2450</v>
      </c>
    </row>
    <row r="9" spans="1:2">
      <c r="A9" s="6" t="s">
        <v>104</v>
      </c>
      <c r="B9" s="2">
        <f>(B7-B8)/B8</f>
        <v>-0.69714285714285718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9C14-22C1-4BC8-B0CC-1C3DB5396AAF}">
  <dimension ref="A1:N12"/>
  <sheetViews>
    <sheetView workbookViewId="0">
      <selection activeCell="L19" sqref="L19"/>
    </sheetView>
  </sheetViews>
  <sheetFormatPr defaultRowHeight="14.4"/>
  <cols>
    <col min="1" max="1" width="8.21875" customWidth="1"/>
  </cols>
  <sheetData>
    <row r="1" spans="1:14" ht="72">
      <c r="A1" s="10" t="s">
        <v>105</v>
      </c>
      <c r="B1" s="10" t="s">
        <v>107</v>
      </c>
      <c r="C1" s="10" t="s">
        <v>106</v>
      </c>
      <c r="D1" s="10" t="s">
        <v>108</v>
      </c>
    </row>
    <row r="2" spans="1:14">
      <c r="A2" s="46" t="str">
        <f>'Historical data'!A7</f>
        <v>FY20</v>
      </c>
      <c r="B2" s="47" t="s">
        <v>109</v>
      </c>
      <c r="C2" s="48">
        <f>'Historical data'!B7</f>
        <v>39783</v>
      </c>
      <c r="D2" s="47">
        <f>'Historical data'!I7</f>
        <v>7335.75</v>
      </c>
      <c r="K2" s="44"/>
      <c r="L2" s="4"/>
      <c r="M2" s="45"/>
      <c r="N2" s="45"/>
    </row>
    <row r="3" spans="1:14">
      <c r="A3" s="46" t="str">
        <f>'Historical data'!A6</f>
        <v>FY21</v>
      </c>
      <c r="B3" s="47" t="s">
        <v>109</v>
      </c>
      <c r="C3" s="48">
        <f>'Historical data'!B6</f>
        <v>47028</v>
      </c>
      <c r="D3" s="47">
        <f>'Historical data'!I6</f>
        <v>5798.5</v>
      </c>
      <c r="K3" s="44"/>
      <c r="L3" s="4"/>
      <c r="M3" s="45"/>
      <c r="N3" s="45"/>
    </row>
    <row r="4" spans="1:14">
      <c r="A4" s="46" t="str">
        <f>'Historical data'!A5</f>
        <v>FY22</v>
      </c>
      <c r="B4" s="47" t="s">
        <v>109</v>
      </c>
      <c r="C4" s="48">
        <f>'Historical data'!B5</f>
        <v>52446</v>
      </c>
      <c r="D4" s="47">
        <f>'Historical data'!I5</f>
        <v>10603.75</v>
      </c>
      <c r="K4" s="44"/>
      <c r="L4" s="4"/>
      <c r="M4" s="45"/>
      <c r="N4" s="45"/>
    </row>
    <row r="5" spans="1:14">
      <c r="A5" s="46" t="str">
        <f>'Historical data'!A4</f>
        <v>FY23</v>
      </c>
      <c r="B5" s="47" t="s">
        <v>109</v>
      </c>
      <c r="C5" s="48">
        <f>'Historical data'!B4</f>
        <v>60580</v>
      </c>
      <c r="D5" s="47">
        <f>'Historical data'!I4</f>
        <v>11569.25</v>
      </c>
      <c r="K5" s="44"/>
      <c r="L5" s="4"/>
      <c r="M5" s="45"/>
      <c r="N5" s="45"/>
    </row>
    <row r="6" spans="1:14">
      <c r="A6" s="46" t="str">
        <f>'Historical data'!A3</f>
        <v>FY24</v>
      </c>
      <c r="B6" s="47" t="s">
        <v>109</v>
      </c>
      <c r="C6" s="48">
        <f>'Historical data'!B3</f>
        <v>61896</v>
      </c>
      <c r="D6" s="47">
        <f>'Historical data'!I3</f>
        <v>9756.25</v>
      </c>
      <c r="K6" s="44"/>
      <c r="L6" s="4"/>
      <c r="M6" s="45"/>
      <c r="N6" s="45"/>
    </row>
    <row r="7" spans="1:14">
      <c r="A7" s="49" t="str">
        <f>'Historical data'!A2</f>
        <v>FY25</v>
      </c>
      <c r="B7" s="47" t="s">
        <v>109</v>
      </c>
      <c r="C7" s="50">
        <f>'Historical data'!B2</f>
        <v>63121</v>
      </c>
      <c r="D7" s="6">
        <f>'Historical data'!I2</f>
        <v>11892.25</v>
      </c>
      <c r="K7" s="44"/>
      <c r="L7" s="4"/>
      <c r="M7" s="45"/>
      <c r="N7" s="45"/>
    </row>
    <row r="8" spans="1:14">
      <c r="A8" s="6" t="str">
        <f>'Forecasting assumption'!A2</f>
        <v>FY26</v>
      </c>
      <c r="B8" s="47" t="s">
        <v>110</v>
      </c>
      <c r="C8" s="6">
        <f>'Forecasting assumption'!B2</f>
        <v>66277.05</v>
      </c>
      <c r="D8" s="6">
        <f>'Forecasting assumption'!H2</f>
        <v>12247.791150000001</v>
      </c>
      <c r="K8" s="4"/>
      <c r="L8" s="4"/>
      <c r="M8" s="45"/>
      <c r="N8" s="45"/>
    </row>
    <row r="9" spans="1:14">
      <c r="A9" s="6" t="str">
        <f>'Forecasting assumption'!A3</f>
        <v>FY27</v>
      </c>
      <c r="B9" s="47" t="s">
        <v>110</v>
      </c>
      <c r="C9" s="50">
        <f>'Forecasting assumption'!B3</f>
        <v>69590.902500000011</v>
      </c>
      <c r="D9" s="6">
        <f>'Forecasting assumption'!H3</f>
        <v>12860.1807075</v>
      </c>
      <c r="K9" s="4"/>
      <c r="L9" s="4"/>
      <c r="M9" s="45"/>
      <c r="N9" s="45"/>
    </row>
    <row r="10" spans="1:14">
      <c r="A10" s="6" t="str">
        <f>'Forecasting assumption'!A4</f>
        <v>FY28</v>
      </c>
      <c r="B10" s="47" t="s">
        <v>110</v>
      </c>
      <c r="C10" s="6">
        <f>'Forecasting assumption'!B4</f>
        <v>73070.447625000015</v>
      </c>
      <c r="D10" s="6">
        <f>'Forecasting assumption'!H4</f>
        <v>13503.189742875002</v>
      </c>
      <c r="K10" s="4"/>
      <c r="L10" s="4"/>
      <c r="M10" s="45"/>
      <c r="N10" s="45"/>
    </row>
    <row r="11" spans="1:14">
      <c r="A11" s="6" t="str">
        <f>'Forecasting assumption'!A5</f>
        <v>FY29</v>
      </c>
      <c r="B11" s="47" t="s">
        <v>110</v>
      </c>
      <c r="C11" s="6">
        <f>'Forecasting assumption'!B5</f>
        <v>76723.97000625002</v>
      </c>
      <c r="D11" s="6">
        <f>'Forecasting assumption'!H5</f>
        <v>14178.349230018754</v>
      </c>
      <c r="K11" s="4"/>
      <c r="L11" s="4"/>
      <c r="M11" s="45"/>
      <c r="N11" s="45"/>
    </row>
    <row r="12" spans="1:14">
      <c r="A12" s="6" t="str">
        <f>'Forecasting assumption'!A6</f>
        <v>FY30</v>
      </c>
      <c r="B12" s="47" t="s">
        <v>110</v>
      </c>
      <c r="C12" s="6">
        <f>'Forecasting assumption'!B6</f>
        <v>80560.168506562521</v>
      </c>
      <c r="D12" s="6">
        <f>'Forecasting assumption'!H6</f>
        <v>14887.26669151969</v>
      </c>
      <c r="K12" s="4"/>
      <c r="L12" s="4"/>
      <c r="M12" s="45"/>
      <c r="N12" s="4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F4F7-13DA-43D3-84E3-DB2844E14C1A}">
  <dimension ref="A1:C21"/>
  <sheetViews>
    <sheetView tabSelected="1" workbookViewId="0">
      <selection activeCell="H20" sqref="H20"/>
    </sheetView>
  </sheetViews>
  <sheetFormatPr defaultRowHeight="14.4"/>
  <cols>
    <col min="1" max="1" width="9.44140625" bestFit="1" customWidth="1"/>
    <col min="2" max="2" width="18.44140625" bestFit="1" customWidth="1"/>
    <col min="3" max="3" width="19.88671875" bestFit="1" customWidth="1"/>
    <col min="8" max="11" width="9.5546875" bestFit="1" customWidth="1"/>
  </cols>
  <sheetData>
    <row r="1" spans="1:3">
      <c r="A1" s="51" t="s">
        <v>96</v>
      </c>
      <c r="B1" s="51" t="s">
        <v>97</v>
      </c>
      <c r="C1" s="51" t="s">
        <v>117</v>
      </c>
    </row>
    <row r="2" spans="1:3">
      <c r="A2" s="47">
        <v>12</v>
      </c>
      <c r="B2" s="47">
        <v>3</v>
      </c>
      <c r="C2" s="47">
        <v>145560.47</v>
      </c>
    </row>
    <row r="3" spans="1:3">
      <c r="A3" s="47">
        <v>11.5</v>
      </c>
      <c r="B3" s="47">
        <v>3</v>
      </c>
      <c r="C3" s="47">
        <v>153562.97</v>
      </c>
    </row>
    <row r="4" spans="1:3">
      <c r="A4" s="47">
        <v>10</v>
      </c>
      <c r="B4" s="47">
        <v>3</v>
      </c>
      <c r="C4" s="47">
        <v>184899.79</v>
      </c>
    </row>
    <row r="5" spans="1:3">
      <c r="A5" s="47">
        <v>9</v>
      </c>
      <c r="B5" s="47">
        <v>3</v>
      </c>
      <c r="C5" s="47">
        <v>214982.57</v>
      </c>
    </row>
    <row r="6" spans="1:3">
      <c r="A6" s="47">
        <v>8</v>
      </c>
      <c r="B6" s="47">
        <v>3</v>
      </c>
      <c r="C6" s="47">
        <v>257601.95</v>
      </c>
    </row>
    <row r="7" spans="1:3">
      <c r="A7" s="47">
        <v>12</v>
      </c>
      <c r="B7" s="47">
        <v>4</v>
      </c>
      <c r="C7" s="47">
        <v>158700.69</v>
      </c>
    </row>
    <row r="8" spans="1:3">
      <c r="A8" s="47">
        <v>11.5</v>
      </c>
      <c r="B8" s="47">
        <v>4</v>
      </c>
      <c r="C8" s="47">
        <v>168671.69</v>
      </c>
    </row>
    <row r="9" spans="1:3">
      <c r="A9" s="47">
        <v>10</v>
      </c>
      <c r="B9" s="47">
        <v>4</v>
      </c>
      <c r="C9" s="47">
        <v>209109.37</v>
      </c>
    </row>
    <row r="10" spans="1:3">
      <c r="A10" s="47">
        <v>9</v>
      </c>
      <c r="B10" s="47">
        <v>4</v>
      </c>
      <c r="C10" s="47">
        <v>250136.99</v>
      </c>
    </row>
    <row r="11" spans="1:3">
      <c r="A11" s="47">
        <v>8</v>
      </c>
      <c r="B11" s="47">
        <v>4</v>
      </c>
      <c r="C11" s="47">
        <v>312313.89</v>
      </c>
    </row>
    <row r="12" spans="1:3">
      <c r="A12" s="47">
        <v>12</v>
      </c>
      <c r="B12" s="47">
        <v>5</v>
      </c>
      <c r="C12" s="47">
        <v>175595.25</v>
      </c>
    </row>
    <row r="13" spans="1:3">
      <c r="A13" s="47">
        <v>11.5</v>
      </c>
      <c r="B13" s="47">
        <v>5</v>
      </c>
      <c r="C13" s="47">
        <v>188429.24</v>
      </c>
    </row>
    <row r="14" spans="1:3">
      <c r="A14" s="47">
        <v>10</v>
      </c>
      <c r="B14" s="47">
        <v>5</v>
      </c>
      <c r="C14" s="47">
        <v>243002.77</v>
      </c>
    </row>
    <row r="15" spans="1:3">
      <c r="A15" s="47">
        <v>9</v>
      </c>
      <c r="B15" s="47">
        <v>5</v>
      </c>
      <c r="C15" s="47">
        <v>302868.62</v>
      </c>
    </row>
    <row r="16" spans="1:3">
      <c r="A16" s="47">
        <v>8</v>
      </c>
      <c r="B16" s="47">
        <v>5</v>
      </c>
      <c r="C16" s="47">
        <v>403500.47</v>
      </c>
    </row>
    <row r="17" spans="1:3">
      <c r="A17" s="47">
        <v>12</v>
      </c>
      <c r="B17" s="47">
        <v>6</v>
      </c>
      <c r="C17" s="47">
        <v>198121.34</v>
      </c>
    </row>
    <row r="18" spans="1:3">
      <c r="A18" s="47">
        <v>11.5</v>
      </c>
      <c r="B18" s="47">
        <v>6</v>
      </c>
      <c r="C18" s="47">
        <v>215371.35</v>
      </c>
    </row>
    <row r="19" spans="1:3">
      <c r="A19" s="47">
        <v>10</v>
      </c>
      <c r="B19" s="47">
        <v>6</v>
      </c>
      <c r="C19" s="47">
        <v>293842.88</v>
      </c>
    </row>
    <row r="20" spans="1:3">
      <c r="A20" s="47">
        <v>9</v>
      </c>
      <c r="B20" s="47">
        <v>6</v>
      </c>
      <c r="C20" s="47">
        <v>390754.68</v>
      </c>
    </row>
    <row r="21" spans="1:3">
      <c r="A21" s="47">
        <v>8</v>
      </c>
      <c r="B21" s="47">
        <v>6</v>
      </c>
      <c r="C21" s="47">
        <v>585873.63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Historical data</vt:lpstr>
      <vt:lpstr>Forecasting assumption</vt:lpstr>
      <vt:lpstr>DCF Valuation</vt:lpstr>
      <vt:lpstr>Sensitivity Analysis</vt:lpstr>
      <vt:lpstr>DCF Summary</vt:lpstr>
      <vt:lpstr>PB_Valuation_Summary</vt:lpstr>
      <vt:lpstr>PB_Cashflow_Drivers</vt:lpstr>
      <vt:lpstr>PB_Sensitivity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Jadaun - Nuvama Wealth</dc:creator>
  <cp:lastModifiedBy>harshita singh</cp:lastModifiedBy>
  <dcterms:created xsi:type="dcterms:W3CDTF">2015-06-05T18:17:20Z</dcterms:created>
  <dcterms:modified xsi:type="dcterms:W3CDTF">2026-01-31T12:43:56Z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1f5d45-1543-4370-beb6-04289cc5d012_Enabled">
    <vt:lpwstr>true</vt:lpwstr>
  </property>
  <property fmtid="{D5CDD505-2E9C-101B-9397-08002B2CF9AE}" pid="3" name="MSIP_Label_8f1f5d45-1543-4370-beb6-04289cc5d012_SetDate">
    <vt:lpwstr>2025-12-03T05:39:49Z</vt:lpwstr>
  </property>
  <property fmtid="{D5CDD505-2E9C-101B-9397-08002B2CF9AE}" pid="4" name="MSIP_Label_8f1f5d45-1543-4370-beb6-04289cc5d012_Method">
    <vt:lpwstr>Standard</vt:lpwstr>
  </property>
  <property fmtid="{D5CDD505-2E9C-101B-9397-08002B2CF9AE}" pid="5" name="MSIP_Label_8f1f5d45-1543-4370-beb6-04289cc5d012_Name">
    <vt:lpwstr>Internal</vt:lpwstr>
  </property>
  <property fmtid="{D5CDD505-2E9C-101B-9397-08002B2CF9AE}" pid="6" name="MSIP_Label_8f1f5d45-1543-4370-beb6-04289cc5d012_SiteId">
    <vt:lpwstr>9201f936-0a1d-49af-82ee-4ee4345c1ad7</vt:lpwstr>
  </property>
  <property fmtid="{D5CDD505-2E9C-101B-9397-08002B2CF9AE}" pid="7" name="MSIP_Label_8f1f5d45-1543-4370-beb6-04289cc5d012_ActionId">
    <vt:lpwstr>3d5ae7c2-5d81-4de1-8cf5-dfe44dce6a36</vt:lpwstr>
  </property>
  <property fmtid="{D5CDD505-2E9C-101B-9397-08002B2CF9AE}" pid="8" name="MSIP_Label_8f1f5d45-1543-4370-beb6-04289cc5d012_ContentBits">
    <vt:lpwstr>0</vt:lpwstr>
  </property>
  <property fmtid="{D5CDD505-2E9C-101B-9397-08002B2CF9AE}" pid="9" name="MSIP_Label_8f1f5d45-1543-4370-beb6-04289cc5d012_Tag">
    <vt:lpwstr>10, 3, 0, 1</vt:lpwstr>
  </property>
</Properties>
</file>